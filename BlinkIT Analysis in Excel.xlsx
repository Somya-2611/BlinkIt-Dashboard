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theam\Documents\Projects\BLINKIT DASHBOARD\"/>
    </mc:Choice>
  </mc:AlternateContent>
  <xr:revisionPtr revIDLastSave="0" documentId="13_ncr:1_{7347846C-7A51-493C-BCF0-1B3662EB26A1}" xr6:coauthVersionLast="47" xr6:coauthVersionMax="47" xr10:uidLastSave="{00000000-0000-0000-0000-000000000000}"/>
  <bookViews>
    <workbookView xWindow="-108" yWindow="-108" windowWidth="23256" windowHeight="12456" activeTab="2" xr2:uid="{F8420BDF-C08E-4FBB-891B-F574F63AC6D0}"/>
  </bookViews>
  <sheets>
    <sheet name="BlinkIT Grocery Data" sheetId="1" r:id="rId1"/>
    <sheet name="Design Sheet" sheetId="2" r:id="rId2"/>
    <sheet name="Dashboard" sheetId="3" r:id="rId3"/>
  </sheets>
  <definedNames>
    <definedName name="_xlchart.v2.0" hidden="1">'Design Sheet'!$E$82:$E$84</definedName>
    <definedName name="_xlchart.v2.1" hidden="1">'Design Sheet'!$F$81</definedName>
    <definedName name="_xlchart.v2.2" hidden="1">'Design Sheet'!$F$82:$F$84</definedName>
    <definedName name="_xlchart.v2.3" hidden="1">'Design Sheet'!$E$81:$E$83</definedName>
    <definedName name="_xlchart.v2.4" hidden="1">'Design Sheet'!$F$80</definedName>
    <definedName name="_xlchart.v2.5" hidden="1">'Design Sheet'!$F$81:$F$83</definedName>
    <definedName name="_xlchart.v2.6" hidden="1">'Design Sheet'!$E$82:$E$84</definedName>
    <definedName name="_xlchart.v2.7" hidden="1">'Design Sheet'!$F$81</definedName>
    <definedName name="_xlchart.v2.8" hidden="1">'Design Sheet'!$F$82:$F$84</definedName>
    <definedName name="Slicer_Item_Type">#N/A</definedName>
    <definedName name="Slicer_Outlet_Location_Type">#N/A</definedName>
    <definedName name="Slicer_Outlet_Size">#N/A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3" i="2" l="1"/>
  <c r="E82" i="2"/>
  <c r="E84" i="2"/>
  <c r="F82" i="2"/>
  <c r="F83" i="2"/>
  <c r="F84" i="2"/>
  <c r="D8" i="2"/>
  <c r="B8" i="2"/>
  <c r="C8" i="2"/>
  <c r="E8" i="2"/>
</calcChain>
</file>

<file path=xl/sharedStrings.xml><?xml version="1.0" encoding="utf-8"?>
<sst xmlns="http://schemas.openxmlformats.org/spreadsheetml/2006/main" count="59761" uniqueCount="1632">
  <si>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</si>
  <si>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</si>
  <si>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</si>
  <si>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</si>
  <si>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</si>
  <si>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</si>
  <si>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</si>
  <si>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</si>
  <si>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</si>
  <si>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</si>
  <si>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</si>
  <si>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</si>
  <si>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</si>
  <si>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</si>
  <si>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</si>
  <si>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</si>
  <si>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</si>
  <si>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</si>
  <si>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</si>
  <si>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</si>
  <si>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</si>
  <si>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</si>
  <si>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</si>
  <si>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</si>
  <si>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</si>
  <si>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</si>
  <si>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</si>
  <si>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</si>
  <si>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</si>
  <si>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</si>
  <si>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</si>
  <si>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</si>
  <si>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</si>
  <si>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</si>
  <si>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</si>
  <si>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</si>
  <si>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</si>
  <si>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</si>
  <si>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</si>
  <si>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</si>
  <si>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</si>
  <si>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</si>
  <si>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</si>
  <si>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</si>
  <si>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</si>
  <si>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</si>
  <si>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</si>
  <si>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</si>
  <si>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</si>
  <si>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</si>
  <si>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</si>
  <si>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</si>
  <si>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</si>
  <si>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</si>
  <si>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</si>
  <si>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</si>
  <si>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</si>
  <si>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</si>
  <si>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</si>
  <si>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</si>
  <si>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</si>
  <si>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</si>
  <si>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</si>
  <si>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</si>
  <si>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</si>
  <si>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</si>
  <si>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</si>
  <si>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</si>
  <si>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</si>
  <si>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</si>
  <si>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</si>
  <si>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</si>
  <si>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</si>
  <si>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</si>
  <si>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</si>
  <si>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</si>
  <si>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</si>
  <si>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</si>
  <si>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</si>
  <si>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</si>
  <si>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</si>
  <si>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</si>
  <si>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</si>
  <si>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</si>
  <si>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</si>
  <si>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</si>
  <si>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</si>
  <si>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</si>
  <si>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</si>
  <si>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</si>
  <si>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</si>
  <si>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</si>
  <si>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</si>
  <si>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</si>
  <si>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</si>
  <si>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</si>
  <si>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</si>
  <si>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</si>
  <si>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</si>
  <si>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</si>
  <si>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</si>
  <si>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</si>
  <si>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</si>
  <si>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</si>
  <si>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</si>
  <si>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</si>
  <si>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</si>
  <si>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</si>
  <si>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</si>
  <si>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</si>
  <si>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</si>
  <si>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</si>
  <si>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</si>
  <si>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</si>
  <si>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</si>
  <si>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</si>
  <si>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</si>
  <si>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</si>
  <si>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</si>
  <si>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</si>
  <si>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</si>
  <si>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</si>
  <si>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</si>
  <si>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</si>
  <si>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</si>
  <si>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</si>
  <si>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</si>
  <si>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</si>
  <si>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</si>
  <si>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</si>
  <si>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</si>
  <si>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</si>
  <si>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</si>
  <si>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</si>
  <si>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</si>
  <si>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</si>
  <si>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</si>
  <si>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</si>
  <si>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</si>
  <si>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</si>
  <si>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</si>
  <si>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</si>
  <si>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</si>
  <si>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</si>
  <si>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</si>
  <si>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</si>
  <si>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</si>
  <si>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</si>
  <si>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</si>
  <si>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</si>
  <si>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</si>
  <si>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</si>
  <si>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</si>
  <si>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</si>
  <si>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</si>
  <si>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</si>
  <si>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</si>
  <si>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</si>
  <si>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</si>
  <si>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</si>
  <si>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</si>
  <si>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</si>
  <si>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</si>
  <si>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</si>
  <si>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</si>
  <si>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</si>
  <si>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</si>
  <si>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</si>
  <si>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</si>
  <si>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</si>
  <si>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</si>
  <si>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</si>
  <si>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</si>
  <si>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</si>
  <si>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</si>
  <si>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</si>
  <si>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</si>
  <si>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</si>
  <si>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</si>
  <si>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</si>
  <si>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</si>
  <si>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</si>
  <si>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</si>
  <si>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</si>
  <si>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</si>
  <si>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</si>
  <si>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</si>
  <si>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</si>
  <si>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</si>
  <si>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</si>
  <si>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</si>
  <si>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</si>
  <si>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</si>
  <si>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</si>
  <si>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</si>
  <si>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</si>
  <si>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</si>
  <si>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</si>
  <si>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</si>
  <si>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</si>
  <si>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</si>
  <si>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</si>
  <si>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</si>
  <si>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</si>
  <si>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</si>
  <si>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</si>
  <si>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</si>
  <si>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</si>
  <si>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</si>
  <si>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</si>
  <si>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</si>
  <si>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</si>
  <si>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</si>
  <si>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</si>
  <si>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</si>
  <si>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</si>
  <si>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</si>
  <si>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</si>
  <si>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</si>
  <si>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</si>
  <si>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</si>
  <si>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</si>
  <si>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</si>
  <si>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</si>
  <si>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</si>
  <si>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</si>
  <si>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</si>
  <si>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</si>
  <si>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</si>
  <si>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</si>
  <si>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</si>
  <si>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</si>
  <si>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</si>
  <si>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</si>
  <si>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</si>
  <si>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</si>
  <si>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</si>
  <si>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</si>
  <si>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</si>
  <si>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</si>
  <si>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</si>
  <si>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</si>
  <si>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</si>
  <si>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</si>
  <si>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</si>
  <si>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</si>
  <si>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</si>
  <si>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</si>
  <si>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</si>
  <si>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</si>
  <si>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</si>
  <si>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</si>
  <si>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</si>
  <si>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</si>
  <si>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</si>
  <si>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</si>
  <si>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</si>
  <si>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</si>
  <si>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</si>
  <si>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</si>
  <si>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</si>
  <si>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</si>
  <si>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</si>
  <si>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</si>
  <si>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</si>
  <si>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</si>
  <si>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</si>
  <si>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</si>
  <si>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</si>
  <si>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</si>
  <si>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</si>
  <si>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</si>
  <si>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</si>
  <si>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</si>
  <si>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</si>
  <si>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</si>
  <si>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</si>
  <si>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</si>
  <si>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</si>
  <si>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</si>
  <si>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</si>
  <si>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</si>
  <si>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</si>
  <si>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</si>
  <si>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</si>
  <si>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</si>
  <si>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</si>
  <si>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</si>
  <si>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</si>
  <si>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</si>
  <si>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</si>
  <si>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</si>
  <si>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</si>
  <si>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</si>
  <si>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</si>
  <si>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</si>
  <si>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</si>
  <si>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</si>
  <si>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</si>
  <si>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</si>
  <si>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</si>
  <si>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</si>
  <si>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</si>
  <si>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</si>
  <si>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</si>
  <si>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</si>
  <si>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</si>
  <si>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</si>
  <si>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</si>
  <si>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</si>
  <si>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</si>
  <si>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</si>
  <si>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</si>
  <si>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</si>
  <si>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</si>
  <si>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</si>
  <si>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</si>
  <si>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</si>
  <si>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</si>
  <si>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</si>
  <si>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</si>
  <si>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</si>
  <si>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</si>
  <si>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</si>
  <si>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</si>
  <si>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</si>
  <si>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</si>
  <si>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</si>
  <si>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</si>
  <si>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</si>
  <si>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</si>
  <si>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</si>
  <si>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</si>
  <si>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</si>
  <si>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</si>
  <si>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</si>
  <si>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</si>
  <si>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</si>
  <si>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</si>
  <si>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</si>
  <si>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</si>
  <si>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</si>
  <si>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</si>
  <si>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</si>
  <si>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</si>
  <si>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</si>
  <si>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</si>
  <si>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</si>
  <si>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</si>
  <si>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</si>
  <si>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</si>
  <si>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</si>
  <si>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</si>
  <si>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</si>
  <si>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</si>
  <si>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</si>
  <si>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</si>
  <si>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</si>
  <si>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</si>
  <si>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</si>
  <si>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</si>
  <si>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</si>
  <si>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</si>
  <si>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</si>
  <si>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</si>
  <si>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</si>
  <si>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</si>
  <si>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</si>
  <si>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</si>
  <si>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</si>
  <si>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</si>
  <si>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</si>
  <si>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</si>
  <si>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</si>
  <si>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</si>
  <si>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</si>
  <si>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</si>
  <si>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</si>
  <si>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</si>
  <si>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</si>
  <si>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</si>
  <si>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</si>
  <si>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</si>
  <si>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</si>
  <si>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</si>
  <si>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</si>
  <si>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</si>
  <si>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</si>
  <si>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</si>
  <si>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</si>
  <si>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</si>
  <si>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</si>
  <si>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</si>
  <si>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</si>
  <si>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</si>
  <si>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</si>
  <si>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</si>
  <si>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</si>
  <si>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</si>
  <si>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</si>
  <si>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</si>
  <si>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</si>
  <si>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</si>
  <si>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</si>
  <si>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</si>
  <si>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</si>
  <si>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</si>
  <si>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</si>
  <si>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</si>
  <si>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</si>
  <si>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</si>
  <si>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</si>
  <si>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</si>
  <si>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</si>
  <si>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</si>
  <si>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</si>
  <si>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</si>
  <si>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</si>
  <si>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</si>
  <si>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</si>
  <si>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</si>
  <si>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</si>
  <si>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</si>
  <si>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</si>
  <si>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</si>
  <si>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</si>
  <si>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</si>
  <si>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</si>
  <si>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</si>
  <si>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</si>
  <si>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</si>
  <si>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</si>
  <si>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</si>
  <si>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</si>
  <si>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</si>
  <si>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</si>
  <si>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</si>
  <si>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</si>
  <si>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</si>
  <si>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</si>
  <si>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</si>
  <si>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</si>
  <si>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</si>
  <si>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</si>
  <si>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</si>
  <si>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</si>
  <si>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</si>
  <si>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</si>
  <si>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</si>
  <si>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</si>
  <si>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</si>
  <si>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</si>
  <si>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</si>
  <si>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</si>
  <si>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</si>
  <si>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</si>
  <si>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</si>
  <si>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</si>
  <si>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</si>
  <si>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</si>
  <si>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</si>
  <si>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</si>
  <si>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</si>
  <si>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</si>
  <si>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</si>
  <si>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</si>
  <si>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</si>
  <si>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</si>
  <si>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</si>
  <si>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</si>
  <si>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</si>
  <si>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</si>
  <si>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</si>
  <si>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</si>
  <si>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</si>
  <si>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</si>
  <si>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</si>
  <si>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</si>
  <si>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</si>
  <si>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</si>
  <si>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</si>
  <si>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</si>
  <si>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</si>
  <si>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</si>
  <si>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</si>
  <si>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</si>
  <si>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</si>
  <si>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</si>
  <si>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</si>
  <si>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</si>
  <si>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</si>
  <si>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</si>
  <si>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</si>
  <si>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</si>
  <si>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</si>
  <si>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</si>
  <si>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</si>
  <si>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</si>
  <si>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</si>
  <si>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</si>
  <si>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</si>
  <si>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</si>
  <si>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</si>
  <si>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</si>
  <si>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</si>
  <si>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</si>
  <si>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</si>
  <si>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</si>
  <si>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</si>
  <si>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</si>
  <si>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</si>
  <si>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</si>
  <si>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</si>
  <si>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</si>
  <si>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</si>
  <si>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</si>
  <si>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</si>
  <si>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</si>
  <si>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</si>
  <si>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</si>
  <si>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</si>
  <si>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</si>
  <si>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</si>
  <si>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</si>
  <si>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</si>
  <si>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</si>
  <si>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</si>
  <si>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</si>
  <si>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</si>
  <si>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</si>
  <si>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</si>
  <si>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</si>
  <si>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</si>
  <si>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</si>
  <si>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</si>
  <si>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</si>
  <si>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</si>
  <si>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</si>
  <si>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</si>
  <si>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</si>
  <si>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</si>
  <si>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</si>
  <si>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</si>
  <si>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</si>
  <si>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</si>
  <si>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</si>
  <si>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</si>
  <si>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</si>
  <si>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</si>
  <si>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</si>
  <si>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</si>
  <si>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</si>
  <si>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</si>
  <si>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</si>
  <si>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</si>
  <si>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</si>
  <si>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</si>
  <si>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</si>
  <si>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</si>
  <si>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</si>
  <si>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</si>
  <si>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</si>
  <si>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</si>
  <si>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</si>
  <si>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</si>
  <si>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</si>
  <si>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</si>
  <si>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</si>
  <si>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</si>
  <si>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</si>
  <si>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</si>
  <si>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</si>
  <si>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</si>
  <si>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</si>
  <si>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</si>
  <si>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</si>
  <si>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</si>
  <si>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</si>
  <si>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</si>
  <si>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</si>
  <si>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</si>
  <si>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</si>
  <si>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</si>
  <si>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</si>
  <si>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</si>
  <si>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</si>
  <si>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</si>
  <si>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</si>
  <si>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</si>
  <si>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</si>
  <si>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</si>
  <si>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</si>
  <si>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</si>
  <si>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</si>
  <si>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</si>
  <si>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</si>
  <si>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</si>
  <si>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</si>
  <si>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</si>
  <si>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</si>
  <si>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</si>
  <si>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</si>
  <si>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</si>
  <si>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</si>
  <si>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</si>
  <si>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</si>
  <si>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</si>
  <si>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</si>
  <si>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</si>
  <si>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</si>
  <si>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</si>
  <si>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</si>
  <si>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</si>
  <si>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</si>
  <si>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</si>
  <si>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</si>
  <si>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</si>
  <si>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</si>
  <si>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</si>
  <si>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</si>
  <si>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</si>
  <si>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</si>
  <si>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</si>
  <si>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</si>
  <si>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</si>
  <si>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</si>
  <si>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</si>
  <si>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</si>
  <si>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</si>
  <si>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</si>
  <si>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</si>
  <si>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</si>
  <si>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</si>
  <si>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</si>
  <si>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</si>
  <si>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</si>
  <si>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</si>
  <si>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</si>
  <si>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</si>
  <si>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</si>
  <si>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</si>
  <si>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</si>
  <si>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</si>
  <si>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</si>
  <si>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</si>
  <si>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</si>
  <si>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</si>
  <si>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</si>
  <si>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</si>
  <si>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</si>
  <si>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</si>
  <si>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</si>
  <si>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</si>
  <si>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</si>
  <si>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</si>
  <si>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</si>
  <si>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</si>
  <si>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</si>
  <si>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</si>
  <si>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</si>
  <si>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</si>
  <si>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</si>
  <si>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</si>
  <si>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</si>
  <si>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</si>
  <si>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</si>
  <si>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</si>
  <si>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</si>
  <si>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</si>
  <si>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</si>
  <si>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</si>
  <si>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</si>
  <si>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</si>
  <si>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</si>
  <si>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</si>
  <si>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</si>
  <si>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</si>
  <si>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</si>
  <si>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</si>
  <si>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</si>
  <si>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</si>
  <si>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</si>
  <si>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</si>
  <si>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</si>
  <si>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</si>
  <si>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</si>
  <si>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</si>
  <si>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</si>
  <si>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</si>
  <si>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</si>
  <si>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</si>
  <si>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</si>
  <si>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</si>
  <si>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</si>
  <si>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</si>
  <si>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</si>
  <si>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</si>
  <si>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</si>
  <si>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</si>
  <si>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</si>
  <si>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</si>
  <si>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</si>
  <si>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</si>
  <si>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</si>
  <si>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</si>
  <si>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</si>
  <si>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</si>
  <si>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</si>
  <si>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</si>
  <si>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</si>
  <si>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</si>
  <si>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</si>
  <si>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</si>
  <si>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</si>
  <si>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</si>
  <si>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</si>
  <si>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</si>
  <si>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</si>
  <si>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</si>
  <si>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</si>
  <si>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</si>
  <si>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</si>
  <si>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</si>
  <si>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</si>
  <si>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</si>
  <si>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</si>
  <si>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</si>
  <si>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</si>
  <si>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</si>
  <si>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</si>
  <si>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</si>
  <si>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</si>
  <si>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</si>
  <si>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</si>
  <si>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</si>
  <si>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</si>
  <si>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</si>
  <si>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</si>
  <si>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</si>
  <si>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</si>
  <si>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</si>
  <si>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</si>
  <si>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</si>
  <si>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</si>
  <si>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</si>
  <si>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</si>
  <si>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</si>
  <si>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</si>
  <si>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</si>
  <si>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</si>
  <si>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</si>
  <si>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</si>
  <si>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</si>
  <si>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</si>
  <si>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</si>
  <si>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</si>
  <si>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</si>
  <si>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</si>
  <si>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</si>
  <si>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</si>
  <si>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</si>
  <si>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</si>
  <si>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</si>
  <si>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</si>
  <si>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</si>
  <si>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</si>
  <si>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</si>
  <si>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</si>
  <si>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</si>
  <si>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</si>
  <si>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</si>
  <si>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</si>
  <si>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</si>
  <si>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</si>
  <si>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</si>
  <si>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</si>
  <si>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</si>
  <si>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</si>
  <si>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</si>
  <si>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</si>
  <si>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</si>
  <si>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</si>
  <si>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</si>
  <si>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</si>
  <si>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</si>
  <si>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</si>
  <si>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</si>
  <si>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</si>
  <si>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</si>
  <si>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</si>
  <si>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</si>
  <si>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</si>
  <si>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</si>
  <si>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</si>
  <si>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</si>
  <si>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</si>
  <si>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</si>
  <si>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</si>
  <si>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</si>
  <si>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</si>
  <si>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</si>
  <si>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</si>
  <si>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</si>
  <si>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</si>
  <si>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</si>
  <si>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</si>
  <si>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</si>
  <si>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</si>
  <si>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</si>
  <si>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</si>
  <si>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</si>
  <si>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</si>
  <si>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</si>
  <si>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</si>
  <si>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</si>
  <si>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</si>
  <si>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</si>
  <si>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</si>
  <si>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</si>
  <si>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</si>
  <si>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</si>
  <si>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</si>
  <si>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</si>
  <si>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</si>
  <si>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</si>
  <si>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</si>
  <si>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</si>
  <si>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</si>
  <si>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</si>
  <si>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</si>
  <si>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</si>
  <si>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</si>
  <si>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</si>
  <si>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</si>
  <si>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</si>
  <si>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</si>
  <si>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</si>
  <si>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</si>
  <si>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</si>
  <si>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</si>
  <si>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</si>
  <si>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</si>
  <si>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</si>
  <si>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</si>
  <si>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</si>
  <si>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</si>
  <si>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</si>
  <si>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</si>
  <si>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</si>
  <si>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</si>
  <si>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</si>
  <si>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</si>
  <si>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</si>
  <si>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</si>
  <si>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</si>
  <si>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</si>
  <si>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</si>
  <si>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</si>
  <si>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</si>
  <si>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</si>
  <si>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</si>
  <si>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</si>
  <si>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</si>
  <si>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</si>
  <si>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</si>
  <si>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</si>
  <si>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</si>
  <si>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</si>
  <si>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</si>
  <si>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</si>
  <si>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</si>
  <si>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</si>
  <si>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</si>
  <si>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</si>
  <si>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</si>
  <si>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</si>
  <si>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</si>
  <si>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</si>
  <si>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</si>
  <si>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</si>
  <si>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</si>
  <si>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</si>
  <si>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</si>
  <si>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</si>
  <si>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</si>
  <si>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</si>
  <si>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</si>
  <si>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</si>
  <si>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</si>
  <si>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</si>
  <si>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</si>
  <si>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</si>
  <si>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</si>
  <si>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</si>
  <si>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</si>
  <si>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</si>
  <si>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</si>
  <si>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</si>
  <si>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</si>
  <si>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</si>
  <si>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</si>
  <si>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</si>
  <si>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</si>
  <si>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</si>
  <si>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</si>
  <si>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</si>
  <si>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</si>
  <si>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</si>
  <si>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</si>
  <si>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</si>
  <si>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</si>
  <si>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</si>
  <si>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</si>
  <si>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</si>
  <si>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</si>
  <si>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</si>
  <si>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</si>
  <si>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</si>
  <si>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</si>
  <si>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</si>
  <si>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</si>
  <si>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</si>
  <si>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</si>
  <si>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</si>
  <si>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</si>
  <si>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</si>
  <si>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</si>
  <si>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</si>
  <si>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</si>
  <si>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</si>
  <si>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</si>
  <si>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</si>
  <si>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</si>
  <si>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</si>
  <si>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</si>
  <si>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</si>
  <si>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</si>
  <si>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</si>
  <si>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</si>
  <si>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</si>
  <si>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</si>
  <si>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</si>
  <si>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</si>
  <si>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</si>
  <si>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</si>
  <si>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</si>
  <si>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</si>
  <si>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</si>
  <si>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</si>
  <si>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</si>
  <si>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</si>
  <si>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</si>
  <si>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</si>
  <si>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</si>
  <si>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</si>
  <si>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</si>
  <si>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</si>
  <si>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</si>
  <si>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</si>
  <si>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</si>
  <si>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</si>
  <si>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</si>
  <si>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</si>
  <si>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</si>
  <si>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</si>
  <si>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</si>
  <si>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</si>
  <si>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</si>
  <si>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</si>
  <si>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</si>
  <si>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</si>
  <si>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</si>
  <si>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</si>
  <si>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</si>
  <si>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</si>
  <si>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</si>
  <si>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</si>
  <si>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</si>
  <si>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</si>
  <si>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</si>
  <si>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</si>
  <si>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</si>
  <si>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</si>
  <si>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</si>
  <si>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</si>
  <si>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</si>
  <si>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</si>
  <si>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</si>
  <si>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</si>
  <si>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</si>
  <si>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</si>
  <si>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</si>
  <si>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</si>
  <si>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</si>
  <si>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</si>
  <si>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</si>
  <si>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</si>
  <si>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</si>
  <si>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</si>
  <si>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</si>
  <si>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</si>
  <si>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</si>
  <si>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</si>
  <si>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</si>
  <si>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</si>
  <si>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</si>
  <si>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</si>
  <si>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</si>
  <si>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</si>
  <si>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</si>
  <si>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</si>
  <si>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</si>
  <si>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</si>
  <si>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</si>
  <si>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</si>
  <si>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</si>
  <si>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</si>
  <si>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</si>
  <si>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</si>
  <si>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</si>
  <si>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</si>
  <si>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</si>
  <si>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</si>
  <si>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</si>
  <si>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</si>
  <si>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</si>
  <si>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</si>
  <si>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</si>
  <si>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</si>
  <si>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</si>
  <si>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</si>
  <si>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</si>
  <si>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</si>
  <si>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</si>
  <si>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</si>
  <si>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</si>
  <si>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</si>
  <si>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</si>
  <si>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</si>
  <si>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</si>
  <si>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</si>
  <si>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</si>
  <si>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</si>
  <si>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</si>
  <si>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</si>
  <si>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</si>
  <si>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</si>
  <si>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</si>
  <si>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</si>
  <si>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</si>
  <si>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</si>
  <si>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</si>
  <si>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</si>
  <si>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</si>
  <si>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</si>
  <si>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</si>
  <si>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</si>
  <si>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</si>
  <si>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</si>
  <si>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</si>
  <si>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</si>
  <si>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</si>
  <si>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</si>
  <si>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</si>
  <si>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</si>
  <si>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</si>
  <si>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</si>
  <si>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</si>
  <si>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</si>
  <si>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</si>
  <si>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</si>
  <si>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</si>
  <si>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</si>
  <si>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</si>
  <si>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</si>
  <si>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</si>
  <si>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</si>
  <si>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</si>
  <si>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</si>
  <si>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</si>
  <si>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</si>
  <si>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</si>
  <si>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</si>
  <si>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</si>
  <si>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</si>
  <si>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</si>
  <si>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</si>
  <si>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</si>
  <si>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</si>
  <si>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</si>
  <si>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</si>
  <si>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</si>
  <si>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</si>
  <si>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</si>
  <si>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</si>
  <si>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</si>
  <si>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</si>
  <si>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</si>
  <si>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</si>
  <si>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</si>
  <si>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</si>
  <si>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</si>
  <si>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</si>
  <si>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</si>
  <si>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</si>
  <si>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</si>
  <si>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</si>
  <si>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</si>
  <si>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</si>
  <si>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</si>
  <si>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</si>
  <si>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</si>
  <si>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</si>
  <si>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</si>
  <si>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</si>
  <si>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</si>
  <si>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</si>
  <si>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</si>
  <si>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</si>
  <si>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</si>
  <si>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</si>
  <si>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</si>
  <si>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</si>
  <si>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</si>
  <si>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</si>
  <si>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</si>
  <si>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</si>
  <si>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</si>
  <si>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</si>
  <si>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</si>
  <si>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</si>
  <si>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</si>
  <si>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</si>
  <si>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</si>
  <si>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</si>
  <si>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</si>
  <si>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</si>
  <si>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</si>
  <si>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</si>
  <si>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</si>
  <si>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</si>
  <si>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</si>
  <si>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</si>
  <si>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</si>
  <si>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</si>
  <si>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</si>
  <si>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</si>
  <si>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</si>
  <si>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</si>
  <si>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</si>
  <si>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</si>
  <si>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</si>
  <si>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</si>
  <si>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</si>
  <si>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</si>
  <si>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</si>
  <si>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</si>
  <si>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</si>
  <si>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</si>
  <si>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</si>
  <si>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</si>
  <si>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</si>
  <si>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</si>
  <si>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</si>
  <si>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</si>
  <si>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</si>
  <si>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</si>
  <si>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</si>
  <si>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</si>
  <si>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</si>
  <si>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</si>
  <si>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</si>
  <si>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</si>
  <si>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</si>
  <si>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</si>
  <si>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</si>
  <si>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</si>
  <si>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</si>
  <si>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</si>
  <si>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</si>
  <si>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</si>
  <si>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</si>
  <si>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</si>
  <si>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</si>
  <si>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</si>
  <si>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</si>
  <si>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</si>
  <si>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</si>
  <si>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</si>
  <si>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</si>
  <si>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</si>
  <si>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</si>
  <si>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</si>
  <si>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</si>
  <si>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</si>
  <si>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</si>
  <si>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</si>
  <si>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</si>
  <si>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</si>
  <si>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</si>
  <si>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</si>
  <si>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</si>
  <si>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</si>
  <si>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</si>
  <si>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</si>
  <si>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</si>
  <si>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</si>
  <si>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</si>
  <si>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</si>
  <si>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</si>
  <si>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</si>
  <si>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</si>
  <si>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</si>
  <si>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</si>
  <si>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</si>
  <si>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</si>
  <si>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</si>
  <si>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</si>
  <si>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</si>
  <si>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</si>
  <si>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</si>
  <si>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</si>
  <si>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</si>
  <si>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</si>
  <si>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</si>
  <si>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</si>
  <si>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</si>
  <si>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</si>
  <si>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</si>
  <si>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</si>
  <si>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</si>
  <si>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</si>
  <si>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</si>
  <si>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</si>
  <si>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</si>
  <si>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</si>
  <si>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</si>
  <si>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</si>
  <si>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</si>
  <si>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</si>
  <si>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</si>
  <si>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</si>
  <si>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</si>
  <si>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</si>
  <si>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</si>
  <si>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</si>
  <si>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</si>
  <si>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</si>
  <si>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</si>
  <si>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</si>
  <si>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</si>
  <si>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</si>
  <si>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</si>
  <si>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</si>
  <si>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</si>
  <si>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</si>
  <si>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</si>
  <si>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</si>
  <si>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</si>
  <si>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</si>
  <si>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</si>
  <si>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</si>
  <si>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</si>
  <si>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</si>
  <si>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</si>
  <si>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</si>
  <si>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</si>
  <si>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</si>
  <si>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</si>
  <si>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</si>
  <si>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</si>
  <si>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</si>
  <si>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</si>
  <si>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</si>
  <si>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</si>
  <si>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</si>
  <si>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</si>
  <si>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</si>
  <si>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</si>
  <si>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</si>
  <si>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</si>
  <si>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</si>
  <si>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</si>
  <si>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</si>
  <si>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</si>
  <si>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</si>
  <si>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</si>
  <si>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</si>
  <si>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</si>
  <si>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</si>
  <si>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</si>
  <si>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</si>
  <si>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</si>
  <si>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</si>
  <si>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</si>
  <si>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</si>
  <si>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</si>
  <si>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</si>
  <si>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</si>
  <si>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</si>
  <si>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</si>
  <si>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</si>
  <si>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</si>
  <si>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</si>
  <si>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</si>
  <si>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</si>
  <si>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</si>
  <si>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</si>
  <si>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</si>
  <si>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</si>
  <si>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</si>
  <si>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</si>
  <si>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</si>
  <si>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</si>
  <si>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</si>
  <si>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</si>
  <si>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</si>
  <si>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</si>
  <si>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</si>
  <si>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</si>
  <si>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</si>
  <si>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</si>
  <si>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</si>
  <si>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</si>
  <si>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</si>
  <si>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</si>
  <si>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</si>
  <si>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</si>
  <si>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</si>
  <si>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</si>
  <si>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</si>
  <si>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</si>
  <si>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</si>
  <si>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</si>
  <si>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</si>
  <si>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</si>
  <si>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</si>
  <si>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</si>
  <si>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</si>
  <si>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</si>
  <si>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</si>
  <si>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</si>
  <si>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</si>
  <si>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</si>
  <si>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</si>
  <si>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</si>
  <si>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</si>
  <si>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</si>
  <si>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</si>
  <si>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</si>
  <si>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</si>
  <si>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</si>
  <si>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</si>
  <si>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</si>
  <si>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</si>
  <si>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</si>
  <si>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</si>
  <si>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</si>
  <si>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</si>
  <si>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</si>
  <si>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</si>
  <si>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</si>
  <si>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</si>
  <si>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</si>
  <si>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</si>
  <si>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</si>
  <si>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</si>
  <si>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</si>
  <si>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</si>
  <si>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</si>
  <si>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</si>
  <si>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</si>
  <si>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</si>
  <si>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</si>
  <si>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</si>
  <si>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</si>
  <si>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</si>
  <si>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</si>
  <si>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</si>
  <si>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</si>
  <si>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</si>
  <si>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</si>
  <si>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</si>
  <si>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</si>
  <si>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</si>
  <si>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</si>
  <si>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</si>
  <si>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</si>
  <si>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</si>
  <si>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</si>
  <si>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</si>
  <si>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</si>
  <si>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</si>
  <si>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</si>
  <si>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</si>
  <si>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</si>
  <si>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</si>
  <si>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</si>
  <si>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</si>
  <si>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</si>
  <si>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</si>
  <si>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</si>
  <si>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</si>
  <si>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</si>
  <si>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</si>
  <si>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</si>
  <si>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</si>
  <si>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</si>
  <si>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</si>
  <si>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</si>
  <si>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</si>
  <si>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</si>
  <si>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</si>
  <si>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</si>
  <si>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</si>
  <si>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</si>
  <si>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</si>
  <si>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</si>
  <si>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</si>
  <si>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</si>
  <si>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</si>
  <si>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</si>
  <si>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</si>
  <si>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</si>
  <si>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</si>
  <si>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</si>
  <si>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</si>
  <si>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</si>
  <si>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</si>
  <si>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</si>
  <si>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</si>
  <si>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</si>
  <si>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</si>
  <si>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</si>
  <si>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</si>
  <si>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</si>
  <si>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</si>
  <si>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</si>
  <si>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</si>
  <si>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</si>
  <si>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</si>
  <si>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</si>
  <si>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</si>
  <si>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</si>
  <si>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</si>
  <si>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</si>
  <si>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</si>
  <si>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</si>
  <si>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</si>
  <si>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</si>
  <si>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</si>
  <si>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</si>
  <si>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</si>
  <si>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</si>
  <si>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</si>
  <si>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</si>
  <si>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</si>
  <si>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</si>
  <si>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</si>
  <si>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</si>
  <si>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</si>
  <si>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</si>
  <si>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</si>
  <si>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</si>
  <si>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</si>
  <si>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</si>
  <si>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</si>
  <si>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</si>
  <si>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</si>
  <si>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</si>
  <si>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</si>
  <si>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</si>
  <si>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</si>
  <si>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</si>
  <si>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</si>
  <si>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</si>
  <si>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</si>
  <si>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</si>
  <si>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</si>
  <si>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</si>
  <si>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</si>
  <si>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</si>
  <si>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</si>
  <si>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</si>
  <si>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</si>
  <si>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</si>
  <si>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</si>
  <si>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</si>
  <si>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</si>
  <si>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</si>
  <si>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</si>
  <si>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</si>
  <si>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</si>
  <si>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</si>
  <si>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</si>
  <si>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</si>
  <si>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</si>
  <si>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</si>
  <si>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</si>
  <si>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</si>
  <si>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</si>
  <si>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</si>
  <si>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</si>
  <si>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</si>
  <si>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</si>
  <si>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</si>
  <si>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</si>
  <si>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</si>
  <si>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</si>
  <si>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</si>
  <si>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</si>
  <si>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</si>
  <si>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</si>
  <si>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</si>
  <si>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</si>
  <si>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</si>
  <si>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</si>
  <si>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</si>
  <si>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</si>
  <si>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</si>
  <si>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</si>
  <si>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</si>
  <si>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</si>
  <si>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</si>
  <si>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</si>
  <si>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</si>
  <si>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</si>
  <si>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</si>
  <si>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</si>
  <si>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</si>
  <si>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</si>
  <si>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</si>
  <si>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</si>
  <si>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</si>
  <si>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</si>
  <si>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</si>
  <si>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</si>
  <si>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</si>
  <si>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</si>
  <si>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</si>
  <si>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</si>
  <si>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</si>
  <si>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</si>
  <si>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</si>
  <si>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</si>
  <si>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</si>
  <si>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</si>
  <si>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</si>
  <si>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</si>
  <si>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</si>
  <si>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</si>
  <si>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</si>
  <si>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</si>
  <si>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</si>
  <si>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</si>
  <si>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</si>
  <si>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</si>
  <si>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</si>
  <si>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</si>
  <si>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</si>
  <si>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</si>
  <si>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</si>
  <si>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</si>
  <si>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</si>
  <si>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</si>
  <si>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</si>
  <si>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</si>
  <si>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</si>
  <si>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</si>
  <si>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</si>
  <si>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</si>
  <si>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</si>
  <si>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</si>
  <si>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</si>
  <si>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</si>
  <si>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</si>
  <si>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</si>
  <si>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</si>
  <si>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</si>
  <si>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</si>
  <si>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</si>
  <si>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</si>
  <si>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</si>
  <si>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</si>
  <si>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</si>
  <si>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</si>
  <si>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</si>
  <si>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</si>
  <si>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</si>
  <si>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</si>
  <si>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</si>
  <si>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</si>
  <si>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</si>
  <si>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</si>
  <si>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</si>
  <si>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</si>
  <si>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</si>
  <si>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</si>
  <si>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</si>
  <si>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</si>
  <si>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</si>
  <si>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</si>
  <si>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</si>
  <si>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</si>
  <si>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</si>
  <si>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</si>
  <si>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</si>
  <si>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</si>
  <si>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</si>
  <si>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</si>
  <si>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No of Items</t>
  </si>
  <si>
    <t>Average of Total Sales</t>
  </si>
  <si>
    <t>Sum of Total Sales</t>
  </si>
  <si>
    <t>Average of Rating</t>
  </si>
  <si>
    <t>TOTAL SALES</t>
  </si>
  <si>
    <t>AVG SALES</t>
  </si>
  <si>
    <t>AVG RATING</t>
  </si>
  <si>
    <t>TOTAL  ITEMS</t>
  </si>
  <si>
    <t>KPI REQUIREMENTS</t>
  </si>
  <si>
    <t>Row Labels</t>
  </si>
  <si>
    <t>Grand Total</t>
  </si>
  <si>
    <t>Sum of Sales</t>
  </si>
  <si>
    <t>TOTAL SALES BY FAT CONTENT</t>
  </si>
  <si>
    <t>Column Labels</t>
  </si>
  <si>
    <t>FAT CONTENT BY OUTLET FOR TOTAL SALES</t>
  </si>
  <si>
    <t>TOTAL SALES BY ITEM TYPE</t>
  </si>
  <si>
    <t xml:space="preserve">TOTAL SALES BY OUTLET ESTABLISHMENT </t>
  </si>
  <si>
    <t>TOTAL SALES BY OUTLET SIZE</t>
  </si>
  <si>
    <t>Outlet Location</t>
  </si>
  <si>
    <t>Total sales by outlet location</t>
  </si>
  <si>
    <t>Average of 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</si>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</sst>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0,,&quot;M&quot;"/>
    <numFmt numFmtId="165" formatCode="&quot;$&quot;0"/>
    <numFmt numFmtId="166" formatCode="0.0"/>
    <numFmt numFmtId="167" formatCode="&quot;$&quot;0.0,&quot;K&quot;"/>
    <numFmt numFmtId="170" formatCode="&quot;$&quot;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6"/>
      <color theme="1"/>
      <name val="Segoe UI Black"/>
      <family val="2"/>
    </font>
    <font>
      <sz val="14"/>
      <color theme="1"/>
      <name val="Segoe UI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0">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11" xfId="0" applyBorder="1"/>
    <xf numFmtId="0" fontId="0" fillId="0" borderId="12" xfId="0" applyBorder="1"/>
    <xf numFmtId="0" fontId="0" fillId="0" borderId="13" xfId="0" applyBorder="1"/>
    <xf numFmtId="0" fontId="0" fillId="0" borderId="14" xfId="0" applyBorder="1"/>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18" fillId="33" borderId="10"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0" borderId="13" xfId="0" pivotButton="1" applyBorder="1"/>
    <xf numFmtId="0" fontId="0" fillId="0" borderId="0" xfId="0" applyBorder="1"/>
    <xf numFmtId="0" fontId="0" fillId="0" borderId="13" xfId="0" applyBorder="1" applyAlignment="1">
      <alignment horizontal="left"/>
    </xf>
    <xf numFmtId="0" fontId="0" fillId="0" borderId="22" xfId="0" applyNumberFormat="1" applyBorder="1"/>
    <xf numFmtId="0" fontId="0" fillId="0" borderId="22" xfId="0" pivotButton="1" applyBorder="1"/>
    <xf numFmtId="0" fontId="0" fillId="0" borderId="22" xfId="0" applyBorder="1" applyAlignment="1">
      <alignment horizontal="left"/>
    </xf>
    <xf numFmtId="0" fontId="0" fillId="0" borderId="22" xfId="0" applyBorder="1"/>
    <xf numFmtId="0" fontId="0" fillId="0" borderId="23" xfId="0" applyBorder="1" applyAlignment="1">
      <alignment horizontal="left"/>
    </xf>
    <xf numFmtId="0" fontId="19" fillId="33" borderId="10" xfId="0" applyFont="1" applyFill="1" applyBorder="1" applyAlignment="1">
      <alignment horizontal="center"/>
    </xf>
    <xf numFmtId="0" fontId="0" fillId="0" borderId="21" xfId="0" pivotButton="1" applyBorder="1"/>
    <xf numFmtId="0" fontId="0" fillId="0" borderId="24" xfId="0" applyBorder="1" applyAlignment="1">
      <alignment horizontal="left"/>
    </xf>
    <xf numFmtId="0" fontId="0" fillId="0" borderId="21" xfId="0" applyBorder="1" applyAlignment="1">
      <alignment horizontal="left"/>
    </xf>
    <xf numFmtId="0" fontId="0" fillId="0" borderId="21" xfId="0" applyBorder="1"/>
    <xf numFmtId="0" fontId="18" fillId="33" borderId="11" xfId="0" applyFont="1" applyFill="1" applyBorder="1" applyAlignment="1">
      <alignment horizontal="center"/>
    </xf>
    <xf numFmtId="0" fontId="0" fillId="0" borderId="0" xfId="0" applyAlignment="1">
      <alignment horizontal="left" vertical="center"/>
    </xf>
    <xf numFmtId="0" fontId="18" fillId="33" borderId="12" xfId="0" applyFont="1" applyFill="1" applyBorder="1" applyAlignment="1">
      <alignment horizontal="center"/>
    </xf>
    <xf numFmtId="0" fontId="18" fillId="34" borderId="0" xfId="0" applyFont="1" applyFill="1" applyBorder="1" applyAlignment="1">
      <alignment horizontal="center"/>
    </xf>
    <xf numFmtId="167" fontId="0" fillId="0" borderId="0" xfId="0" applyNumberFormat="1" applyBorder="1"/>
    <xf numFmtId="167" fontId="0" fillId="0" borderId="14" xfId="0" applyNumberFormat="1" applyBorder="1"/>
    <xf numFmtId="167" fontId="0" fillId="0" borderId="16" xfId="0" applyNumberFormat="1" applyBorder="1"/>
    <xf numFmtId="167" fontId="0" fillId="0" borderId="17" xfId="0" applyNumberFormat="1" applyBorder="1"/>
    <xf numFmtId="167" fontId="0" fillId="0" borderId="13" xfId="0" applyNumberFormat="1" applyBorder="1"/>
    <xf numFmtId="167" fontId="0" fillId="0" borderId="15" xfId="0" applyNumberFormat="1" applyBorder="1"/>
    <xf numFmtId="167" fontId="0" fillId="0" borderId="10" xfId="0" applyNumberFormat="1" applyBorder="1"/>
    <xf numFmtId="167" fontId="0" fillId="0" borderId="11" xfId="0" applyNumberFormat="1" applyBorder="1"/>
    <xf numFmtId="167" fontId="0" fillId="0" borderId="12" xfId="0" applyNumberFormat="1" applyBorder="1"/>
    <xf numFmtId="167" fontId="0" fillId="0" borderId="23" xfId="0" applyNumberFormat="1" applyBorder="1"/>
    <xf numFmtId="167" fontId="0" fillId="0" borderId="22" xfId="0" applyNumberFormat="1" applyBorder="1"/>
    <xf numFmtId="167" fontId="0" fillId="0" borderId="24" xfId="0" applyNumberFormat="1" applyBorder="1"/>
    <xf numFmtId="0" fontId="0" fillId="0" borderId="0" xfId="0" applyBorder="1" applyAlignment="1">
      <alignment horizontal="center" vertical="center"/>
    </xf>
    <xf numFmtId="0" fontId="0" fillId="0" borderId="0" xfId="0" applyBorder="1" applyAlignment="1">
      <alignment horizontal="left" vertical="center"/>
    </xf>
    <xf numFmtId="0" fontId="0" fillId="0" borderId="0" xfId="0" applyNumberFormat="1" applyBorder="1" applyAlignment="1">
      <alignment horizontal="center"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13" xfId="0" applyNumberFormat="1" applyBorder="1" applyAlignment="1">
      <alignment horizontal="center" vertical="center"/>
    </xf>
    <xf numFmtId="0" fontId="0" fillId="0" borderId="14" xfId="0" applyNumberFormat="1" applyBorder="1" applyAlignment="1">
      <alignment horizontal="center" vertical="center"/>
    </xf>
    <xf numFmtId="164" fontId="0" fillId="0" borderId="15" xfId="0" applyNumberFormat="1" applyBorder="1" applyAlignment="1">
      <alignment horizontal="center"/>
    </xf>
    <xf numFmtId="165" fontId="0" fillId="0" borderId="16" xfId="0" applyNumberFormat="1" applyBorder="1" applyAlignment="1">
      <alignment horizontal="center"/>
    </xf>
    <xf numFmtId="0" fontId="0" fillId="0" borderId="16" xfId="0" applyBorder="1" applyAlignment="1">
      <alignment horizontal="center"/>
    </xf>
    <xf numFmtId="166" fontId="0" fillId="0" borderId="17" xfId="0" applyNumberFormat="1" applyBorder="1" applyAlignment="1">
      <alignment horizontal="center"/>
    </xf>
    <xf numFmtId="170" fontId="0" fillId="0" borderId="0" xfId="0" applyNumberFormat="1" applyBorder="1"/>
    <xf numFmtId="2" fontId="0" fillId="0" borderId="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9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alignment vertical="center"/>
    </dxf>
    <dxf>
      <alignment horizontal="left"/>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alignment vertical="center"/>
    </dxf>
    <dxf>
      <alignment horizontal="left"/>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alignment vertical="center"/>
    </dxf>
    <dxf>
      <alignment horizontal="left"/>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alignment vertical="center"/>
    </dxf>
    <dxf>
      <alignment horizontal="left"/>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alignment vertical="center"/>
    </dxf>
    <dxf>
      <alignment horizontal="left"/>
    </dxf>
    <dxf>
      <font>
        <b/>
        <color theme="1"/>
      </font>
      <border>
        <bottom style="thin">
          <color theme="7"/>
        </bottom>
        <vertical/>
        <horizontal/>
      </border>
    </dxf>
    <dxf>
      <font>
        <color theme="1"/>
      </font>
      <fill>
        <patternFill>
          <bgColor rgb="FFFFD2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alignment vertical="center"/>
    </dxf>
    <dxf>
      <alignment horizontal="left"/>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alignment vertical="center"/>
    </dxf>
    <dxf>
      <alignment horizontal="left"/>
    </dxf>
    <dxf>
      <numFmt numFmtId="170" formatCode="&quot;$&quot;0&quot;K&quot;"/>
    </dxf>
    <dxf>
      <numFmt numFmtId="2" formatCode="0.00"/>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vertic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center"/>
    </dxf>
  </dxfs>
  <tableStyles count="1" defaultTableStyle="TableStyleMedium2" defaultPivotStyle="PivotStyleLight16">
    <tableStyle name="BlinkIT A nalysis" pivot="0" table="0" count="10" xr9:uid="{1B74ECBE-6EF4-4172-8995-A39D8123921F}">
      <tableStyleElement type="wholeTable" dxfId="524"/>
      <tableStyleElement type="headerRow" dxfId="523"/>
    </tableStyle>
  </tableStyles>
  <colors>
    <mruColors>
      <color rgb="FFFFD200"/>
      <color rgb="FF18A02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 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 Sheet!PivotTable3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'Design Sheet'!$C$13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'Design Sheet'!$B$14:$B$16</c:f>
              <c:strCache>
                <c:ptCount val="2"/>
                <c:pt idx="0">
                  <c:v>Low Fat</c:v>
                </c:pt>
                <c:pt idx="1">
                  <c:v>Regular</c:v>
                </c:pt>
              </c:strCache>
            </c:strRef>
          </c:cat>
          <c:val>
            <c:numRef>
              <c:f>'Design Sheet'!$C$14:$C$16</c:f>
              <c:numCache>
                <c:formatCode>"$"0.0,"K"</c:formatCode>
                <c:ptCount val="2"/>
                <c:pt idx="0">
                  <c:v>776319.68840000057</c:v>
                </c:pt>
                <c:pt idx="1">
                  <c:v>425361.8043999995</c:v>
                </c:pt>
              </c:numCache>
            </c:numRef>
          </c:val>
          <c:extLst>
            <c:ext xmlns:c16="http://schemas.microsoft.com/office/drawing/2014/chart" uri="{C3380CC4-5D6E-409C-BE32-E72D297353CC}">
              <c16:uniqueId val="{00000000-E656-4C3E-8807-495285698F4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 Sheet!PivotTable4</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Sheet'!$C$23:$C$24</c:f>
              <c:strCache>
                <c:ptCount val="1"/>
                <c:pt idx="0">
                  <c:v>Regular</c:v>
                </c:pt>
              </c:strCache>
            </c:strRef>
          </c:tx>
          <c:spPr>
            <a:solidFill>
              <a:schemeClr val="accent1"/>
            </a:solidFill>
            <a:ln>
              <a:noFill/>
            </a:ln>
            <a:effectLst/>
          </c:spPr>
          <c:invertIfNegative val="0"/>
          <c:cat>
            <c:strRef>
              <c:f>'Design Sheet'!$B$25:$B$28</c:f>
              <c:strCache>
                <c:ptCount val="3"/>
                <c:pt idx="0">
                  <c:v>Tier 1</c:v>
                </c:pt>
                <c:pt idx="1">
                  <c:v>Tier 2</c:v>
                </c:pt>
                <c:pt idx="2">
                  <c:v>Tier 3</c:v>
                </c:pt>
              </c:strCache>
            </c:strRef>
          </c:cat>
          <c:val>
            <c:numRef>
              <c:f>'Design Sheet'!$C$25:$C$28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A329-4D19-9557-BF575B87ED72}"/>
            </c:ext>
          </c:extLst>
        </c:ser>
        <c:ser>
          <c:idx val="1"/>
          <c:order val="1"/>
          <c:tx>
            <c:strRef>
              <c:f>'Design Sheet'!$D$23:$D$24</c:f>
              <c:strCache>
                <c:ptCount val="1"/>
                <c:pt idx="0">
                  <c:v>Low Fat</c:v>
                </c:pt>
              </c:strCache>
            </c:strRef>
          </c:tx>
          <c:spPr>
            <a:solidFill>
              <a:schemeClr val="accent2"/>
            </a:solidFill>
            <a:ln>
              <a:noFill/>
            </a:ln>
            <a:effectLst/>
          </c:spPr>
          <c:invertIfNegative val="0"/>
          <c:cat>
            <c:strRef>
              <c:f>'Design Sheet'!$B$25:$B$28</c:f>
              <c:strCache>
                <c:ptCount val="3"/>
                <c:pt idx="0">
                  <c:v>Tier 1</c:v>
                </c:pt>
                <c:pt idx="1">
                  <c:v>Tier 2</c:v>
                </c:pt>
                <c:pt idx="2">
                  <c:v>Tier 3</c:v>
                </c:pt>
              </c:strCache>
            </c:strRef>
          </c:cat>
          <c:val>
            <c:numRef>
              <c:f>'Design Sheet'!$D$25:$D$28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A329-4D19-9557-BF575B87ED72}"/>
            </c:ext>
          </c:extLst>
        </c:ser>
        <c:dLbls>
          <c:showLegendKey val="0"/>
          <c:showVal val="0"/>
          <c:showCatName val="0"/>
          <c:showSerName val="0"/>
          <c:showPercent val="0"/>
          <c:showBubbleSize val="0"/>
        </c:dLbls>
        <c:gapWidth val="182"/>
        <c:axId val="1782097903"/>
        <c:axId val="1522178511"/>
      </c:barChart>
      <c:catAx>
        <c:axId val="1782097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178511"/>
        <c:crosses val="autoZero"/>
        <c:auto val="1"/>
        <c:lblAlgn val="ctr"/>
        <c:lblOffset val="100"/>
        <c:noMultiLvlLbl val="0"/>
      </c:catAx>
      <c:valAx>
        <c:axId val="15221785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09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 Sheet!PivotTable5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Sheet'!$C$33</c:f>
              <c:strCache>
                <c:ptCount val="1"/>
                <c:pt idx="0">
                  <c:v>Total</c:v>
                </c:pt>
              </c:strCache>
            </c:strRef>
          </c:tx>
          <c:spPr>
            <a:solidFill>
              <a:schemeClr val="accent1"/>
            </a:solidFill>
            <a:ln>
              <a:noFill/>
            </a:ln>
            <a:effectLst/>
          </c:spPr>
          <c:invertIfNegative val="0"/>
          <c:cat>
            <c:strRef>
              <c:f>'Design Sheet'!$B$34:$B$50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 Sheet'!$C$34:$C$50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ED1-49E6-969A-BB6EEDF0181F}"/>
            </c:ext>
          </c:extLst>
        </c:ser>
        <c:dLbls>
          <c:showLegendKey val="0"/>
          <c:showVal val="0"/>
          <c:showCatName val="0"/>
          <c:showSerName val="0"/>
          <c:showPercent val="0"/>
          <c:showBubbleSize val="0"/>
        </c:dLbls>
        <c:gapWidth val="182"/>
        <c:axId val="1791897391"/>
        <c:axId val="1793957487"/>
      </c:barChart>
      <c:catAx>
        <c:axId val="179189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57487"/>
        <c:crosses val="autoZero"/>
        <c:auto val="1"/>
        <c:lblAlgn val="ctr"/>
        <c:lblOffset val="100"/>
        <c:noMultiLvlLbl val="0"/>
      </c:catAx>
      <c:valAx>
        <c:axId val="179395748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89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 Sheet!PivotTable6</c:name>
    <c:fmtId val="16"/>
  </c:pivotSource>
  <c:chart>
    <c:autoTitleDeleted val="1"/>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14971804184054679"/>
                  <c:h val="9.7308477379294933E-2"/>
                </c:manualLayout>
              </c15:layout>
            </c:ext>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Lst>
        </c:dLbl>
      </c:pivotFmt>
      <c:pivotFmt>
        <c:idx val="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Lst>
        </c:dLbl>
      </c:pivotFmt>
      <c:pivotFmt>
        <c:idx val="5"/>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Lst>
        </c:dLbl>
      </c:pivotFmt>
      <c:pivotFmt>
        <c:idx val="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Lst>
        </c:dLbl>
      </c:pivotFmt>
      <c:pivotFmt>
        <c:idx val="7"/>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Lst>
        </c:dLbl>
      </c:pivotFmt>
      <c:pivotFmt>
        <c:idx val="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Lst>
        </c:dLbl>
      </c:pivotFmt>
      <c:pivotFmt>
        <c:idx val="9"/>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Lst>
        </c:dLbl>
      </c:pivotFmt>
    </c:pivotFmts>
    <c:plotArea>
      <c:layout/>
      <c:lineChart>
        <c:grouping val="standard"/>
        <c:varyColors val="0"/>
        <c:ser>
          <c:idx val="0"/>
          <c:order val="0"/>
          <c:tx>
            <c:strRef>
              <c:f>'Design Sheet'!$C$55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dLbl>
              <c:idx val="0"/>
              <c:dLblPos val="t"/>
              <c:showLegendKey val="0"/>
              <c:showVal val="1"/>
              <c:showCatName val="0"/>
              <c:showSerName val="0"/>
              <c:showPercent val="0"/>
              <c:showBubbleSize val="0"/>
              <c:extLst>
                <c:ext xmlns:c15="http://schemas.microsoft.com/office/drawing/2012/chart" uri="{CE6537A1-D6FC-4f65-9D91-7224C49458BB}">
                  <c15:layout>
                    <c:manualLayout>
                      <c:w val="0.14971804184054679"/>
                      <c:h val="9.7308477379294933E-2"/>
                    </c:manualLayout>
                  </c15:layout>
                </c:ext>
                <c:ext xmlns:c16="http://schemas.microsoft.com/office/drawing/2014/chart" uri="{C3380CC4-5D6E-409C-BE32-E72D297353CC}">
                  <c16:uniqueId val="{00000002-9167-410D-A5D0-4D7701B72016}"/>
                </c:ext>
              </c:extLst>
            </c:dLbl>
            <c:dLbl>
              <c:idx val="1"/>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 xmlns:c16="http://schemas.microsoft.com/office/drawing/2014/chart" uri="{C3380CC4-5D6E-409C-BE32-E72D297353CC}">
                  <c16:uniqueId val="{00000003-9167-410D-A5D0-4D7701B72016}"/>
                </c:ext>
              </c:extLst>
            </c:dLbl>
            <c:dLbl>
              <c:idx val="2"/>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 xmlns:c16="http://schemas.microsoft.com/office/drawing/2014/chart" uri="{C3380CC4-5D6E-409C-BE32-E72D297353CC}">
                  <c16:uniqueId val="{00000004-9167-410D-A5D0-4D7701B72016}"/>
                </c:ext>
              </c:extLst>
            </c:dLbl>
            <c:dLbl>
              <c:idx val="3"/>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 xmlns:c16="http://schemas.microsoft.com/office/drawing/2014/chart" uri="{C3380CC4-5D6E-409C-BE32-E72D297353CC}">
                  <c16:uniqueId val="{00000005-9167-410D-A5D0-4D7701B72016}"/>
                </c:ext>
              </c:extLst>
            </c:dLbl>
            <c:dLbl>
              <c:idx val="4"/>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 xmlns:c16="http://schemas.microsoft.com/office/drawing/2014/chart" uri="{C3380CC4-5D6E-409C-BE32-E72D297353CC}">
                  <c16:uniqueId val="{00000006-9167-410D-A5D0-4D7701B72016}"/>
                </c:ext>
              </c:extLst>
            </c:dLbl>
            <c:dLbl>
              <c:idx val="5"/>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 xmlns:c16="http://schemas.microsoft.com/office/drawing/2014/chart" uri="{C3380CC4-5D6E-409C-BE32-E72D297353CC}">
                  <c16:uniqueId val="{00000007-9167-410D-A5D0-4D7701B72016}"/>
                </c:ext>
              </c:extLst>
            </c:dLbl>
            <c:dLbl>
              <c:idx val="6"/>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 xmlns:c16="http://schemas.microsoft.com/office/drawing/2014/chart" uri="{C3380CC4-5D6E-409C-BE32-E72D297353CC}">
                  <c16:uniqueId val="{00000008-9167-410D-A5D0-4D7701B72016}"/>
                </c:ext>
              </c:extLst>
            </c:dLbl>
            <c:dLbl>
              <c:idx val="7"/>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 xmlns:c16="http://schemas.microsoft.com/office/drawing/2014/chart" uri="{C3380CC4-5D6E-409C-BE32-E72D297353CC}">
                  <c16:uniqueId val="{00000009-9167-410D-A5D0-4D7701B72016}"/>
                </c:ext>
              </c:extLst>
            </c:dLbl>
            <c:dLbl>
              <c:idx val="8"/>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 xmlns:c16="http://schemas.microsoft.com/office/drawing/2014/chart" uri="{C3380CC4-5D6E-409C-BE32-E72D297353CC}">
                  <c16:uniqueId val="{0000000A-9167-410D-A5D0-4D7701B720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'Design Sheet'!$B$56:$B$65</c:f>
              <c:strCache>
                <c:ptCount val="9"/>
                <c:pt idx="0">
                  <c:v>2011</c:v>
                </c:pt>
                <c:pt idx="1">
                  <c:v>2012</c:v>
                </c:pt>
                <c:pt idx="2">
                  <c:v>2014</c:v>
                </c:pt>
                <c:pt idx="3">
                  <c:v>2015</c:v>
                </c:pt>
                <c:pt idx="4">
                  <c:v>2016</c:v>
                </c:pt>
                <c:pt idx="5">
                  <c:v>2017</c:v>
                </c:pt>
                <c:pt idx="6">
                  <c:v>2018</c:v>
                </c:pt>
                <c:pt idx="7">
                  <c:v>2020</c:v>
                </c:pt>
                <c:pt idx="8">
                  <c:v>2022</c:v>
                </c:pt>
              </c:strCache>
            </c:strRef>
          </c:cat>
          <c:val>
            <c:numRef>
              <c:f>'Design Sheet'!$C$56:$C$65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9167-410D-A5D0-4D7701B72016}"/>
            </c:ext>
          </c:extLst>
        </c:ser>
        <c:dLbls>
          <c:dLblPos val="t"/>
          <c:showLegendKey val="0"/>
          <c:showVal val="1"/>
          <c:showCatName val="0"/>
          <c:showSerName val="0"/>
          <c:showPercent val="0"/>
          <c:showBubbleSize val="0"/>
        </c:dLbls>
        <c:marker val="1"/>
        <c:smooth val="0"/>
        <c:axId val="1794359935"/>
        <c:axId val="1793966607"/>
      </c:lineChart>
      <c:catAx>
        <c:axId val="179435993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93966607"/>
        <c:crosses val="autoZero"/>
        <c:auto val="1"/>
        <c:lblAlgn val="ctr"/>
        <c:lblOffset val="100"/>
        <c:noMultiLvlLbl val="0"/>
      </c:catAx>
      <c:valAx>
        <c:axId val="1793966607"/>
        <c:scaling>
          <c:orientation val="minMax"/>
        </c:scaling>
        <c:delete val="1"/>
        <c:axPos val="l"/>
        <c:numFmt formatCode="&quot;$&quot;0.0,&quot;K&quot;" sourceLinked="1"/>
        <c:majorTickMark val="none"/>
        <c:minorTickMark val="none"/>
        <c:tickLblPos val="nextTo"/>
        <c:crossAx val="1794359935"/>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 Sheet!PivotTable7</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'Design Sheet'!$C$71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'Design Sheet'!$B$72:$B$75</c:f>
              <c:strCache>
                <c:ptCount val="3"/>
                <c:pt idx="0">
                  <c:v>High</c:v>
                </c:pt>
                <c:pt idx="1">
                  <c:v>Medium</c:v>
                </c:pt>
                <c:pt idx="2">
                  <c:v>Small</c:v>
                </c:pt>
              </c:strCache>
            </c:strRef>
          </c:cat>
          <c:val>
            <c:numRef>
              <c:f>'Design Sheet'!$C$72:$C$75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C5C-4139-8B7D-98EC0D645615}"/>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 Sheet!PivotTable9</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Sheet'!$C$95</c:f>
              <c:strCache>
                <c:ptCount val="1"/>
                <c:pt idx="0">
                  <c:v>Total</c:v>
                </c:pt>
              </c:strCache>
            </c:strRef>
          </c:tx>
          <c:spPr>
            <a:solidFill>
              <a:schemeClr val="accent1"/>
            </a:solidFill>
            <a:ln>
              <a:noFill/>
            </a:ln>
            <a:effectLst/>
          </c:spPr>
          <c:invertIfNegative val="0"/>
          <c:cat>
            <c:strRef>
              <c:f>'Design Sheet'!$B$96:$B$100</c:f>
              <c:strCache>
                <c:ptCount val="4"/>
                <c:pt idx="0">
                  <c:v>Grocery Store</c:v>
                </c:pt>
                <c:pt idx="1">
                  <c:v>Supermarket Type3</c:v>
                </c:pt>
                <c:pt idx="2">
                  <c:v>Supermarket Type2</c:v>
                </c:pt>
                <c:pt idx="3">
                  <c:v>Supermarket Type1</c:v>
                </c:pt>
              </c:strCache>
            </c:strRef>
          </c:cat>
          <c:val>
            <c:numRef>
              <c:f>'Design Sheet'!$C$96:$C$100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DD2-45AE-B98A-D89E68528BAF}"/>
            </c:ext>
          </c:extLst>
        </c:ser>
        <c:dLbls>
          <c:showLegendKey val="0"/>
          <c:showVal val="0"/>
          <c:showCatName val="0"/>
          <c:showSerName val="0"/>
          <c:showPercent val="0"/>
          <c:showBubbleSize val="0"/>
        </c:dLbls>
        <c:gapWidth val="182"/>
        <c:axId val="1845406399"/>
        <c:axId val="1793996367"/>
      </c:barChart>
      <c:catAx>
        <c:axId val="184540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96367"/>
        <c:crosses val="autoZero"/>
        <c:auto val="1"/>
        <c:lblAlgn val="ctr"/>
        <c:lblOffset val="100"/>
        <c:noMultiLvlLbl val="0"/>
      </c:catAx>
      <c:valAx>
        <c:axId val="1793996367"/>
        <c:scaling>
          <c:orientation val="minMax"/>
        </c:scaling>
        <c:delete val="1"/>
        <c:axPos val="b"/>
        <c:numFmt formatCode="&quot;$&quot;0.0,&quot;K&quot;" sourceLinked="1"/>
        <c:majorTickMark val="none"/>
        <c:minorTickMark val="none"/>
        <c:tickLblPos val="nextTo"/>
        <c:crossAx val="184540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 Sheet!PivotTable10</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890881298891466"/>
          <c:y val="7.407407407407407E-2"/>
          <c:w val="0.4695251184955877"/>
          <c:h val="0.79629629629629628"/>
        </c:manualLayout>
      </c:layout>
      <c:barChart>
        <c:barDir val="bar"/>
        <c:grouping val="clustered"/>
        <c:varyColors val="0"/>
        <c:ser>
          <c:idx val="0"/>
          <c:order val="0"/>
          <c:tx>
            <c:strRef>
              <c:f>'Design Sheet'!$C$106</c:f>
              <c:strCache>
                <c:ptCount val="1"/>
                <c:pt idx="0">
                  <c:v>Total</c:v>
                </c:pt>
              </c:strCache>
            </c:strRef>
          </c:tx>
          <c:spPr>
            <a:solidFill>
              <a:schemeClr val="accent1"/>
            </a:solidFill>
            <a:ln>
              <a:noFill/>
            </a:ln>
            <a:effectLst/>
          </c:spPr>
          <c:invertIfNegative val="0"/>
          <c:cat>
            <c:strRef>
              <c:f>'Design Sheet'!$B$107:$B$111</c:f>
              <c:strCache>
                <c:ptCount val="4"/>
                <c:pt idx="0">
                  <c:v>Grocery Store</c:v>
                </c:pt>
                <c:pt idx="1">
                  <c:v>Supermarket Type3</c:v>
                </c:pt>
                <c:pt idx="2">
                  <c:v>Supermarket Type2</c:v>
                </c:pt>
                <c:pt idx="3">
                  <c:v>Supermarket Type1</c:v>
                </c:pt>
              </c:strCache>
            </c:strRef>
          </c:cat>
          <c:val>
            <c:numRef>
              <c:f>'Design Sheet'!$C$107:$C$111</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065-4312-8F35-24C7FE836472}"/>
            </c:ext>
          </c:extLst>
        </c:ser>
        <c:dLbls>
          <c:showLegendKey val="0"/>
          <c:showVal val="0"/>
          <c:showCatName val="0"/>
          <c:showSerName val="0"/>
          <c:showPercent val="0"/>
          <c:showBubbleSize val="0"/>
        </c:dLbls>
        <c:gapWidth val="182"/>
        <c:axId val="1845405471"/>
        <c:axId val="1793988687"/>
      </c:barChart>
      <c:catAx>
        <c:axId val="184540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88687"/>
        <c:crosses val="autoZero"/>
        <c:auto val="1"/>
        <c:lblAlgn val="ctr"/>
        <c:lblOffset val="100"/>
        <c:noMultiLvlLbl val="0"/>
      </c:catAx>
      <c:valAx>
        <c:axId val="1793988687"/>
        <c:scaling>
          <c:orientation val="minMax"/>
        </c:scaling>
        <c:delete val="1"/>
        <c:axPos val="b"/>
        <c:numFmt formatCode="&quot;$&quot;0&quot;K&quot;" sourceLinked="1"/>
        <c:majorTickMark val="none"/>
        <c:minorTickMark val="none"/>
        <c:tickLblPos val="nextTo"/>
        <c:crossAx val="184540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 Sheet!PivotTable11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Sheet'!$C$116</c:f>
              <c:strCache>
                <c:ptCount val="1"/>
                <c:pt idx="0">
                  <c:v>Total</c:v>
                </c:pt>
              </c:strCache>
            </c:strRef>
          </c:tx>
          <c:spPr>
            <a:solidFill>
              <a:schemeClr val="accent1"/>
            </a:solidFill>
            <a:ln>
              <a:noFill/>
            </a:ln>
            <a:effectLst/>
          </c:spPr>
          <c:invertIfNegative val="0"/>
          <c:cat>
            <c:strRef>
              <c:f>'Design Sheet'!$B$117:$B$121</c:f>
              <c:strCache>
                <c:ptCount val="4"/>
                <c:pt idx="0">
                  <c:v>Grocery Store</c:v>
                </c:pt>
                <c:pt idx="1">
                  <c:v>Supermarket Type3</c:v>
                </c:pt>
                <c:pt idx="2">
                  <c:v>Supermarket Type2</c:v>
                </c:pt>
                <c:pt idx="3">
                  <c:v>Supermarket Type1</c:v>
                </c:pt>
              </c:strCache>
            </c:strRef>
          </c:cat>
          <c:val>
            <c:numRef>
              <c:f>'Design Sheet'!$C$117:$C$121</c:f>
              <c:numCache>
                <c:formatCode>0.00</c:formatCode>
                <c:ptCount val="4"/>
                <c:pt idx="0">
                  <c:v>3.9858725761772842</c:v>
                </c:pt>
                <c:pt idx="1">
                  <c:v>3.9529411764705853</c:v>
                </c:pt>
                <c:pt idx="2">
                  <c:v>3.9712284482758555</c:v>
                </c:pt>
                <c:pt idx="3">
                  <c:v>3.9632418863188126</c:v>
                </c:pt>
              </c:numCache>
            </c:numRef>
          </c:val>
          <c:extLst>
            <c:ext xmlns:c16="http://schemas.microsoft.com/office/drawing/2014/chart" uri="{C3380CC4-5D6E-409C-BE32-E72D297353CC}">
              <c16:uniqueId val="{00000000-7B0D-4399-9C2E-E8C2AB7A74EC}"/>
            </c:ext>
          </c:extLst>
        </c:ser>
        <c:dLbls>
          <c:showLegendKey val="0"/>
          <c:showVal val="0"/>
          <c:showCatName val="0"/>
          <c:showSerName val="0"/>
          <c:showPercent val="0"/>
          <c:showBubbleSize val="0"/>
        </c:dLbls>
        <c:gapWidth val="182"/>
        <c:axId val="1843540543"/>
        <c:axId val="1793993967"/>
      </c:barChart>
      <c:catAx>
        <c:axId val="184354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93967"/>
        <c:crosses val="autoZero"/>
        <c:auto val="1"/>
        <c:lblAlgn val="ctr"/>
        <c:lblOffset val="100"/>
        <c:noMultiLvlLbl val="0"/>
      </c:catAx>
      <c:valAx>
        <c:axId val="1793993967"/>
        <c:scaling>
          <c:orientation val="minMax"/>
        </c:scaling>
        <c:delete val="1"/>
        <c:axPos val="b"/>
        <c:numFmt formatCode="0.00" sourceLinked="1"/>
        <c:majorTickMark val="none"/>
        <c:minorTickMark val="none"/>
        <c:tickLblPos val="nextTo"/>
        <c:crossAx val="184354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 Sheet!PivotTable3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C000"/>
          </a:solidFill>
          <a:ln w="19050">
            <a:solidFill>
              <a:schemeClr val="lt1"/>
            </a:solidFill>
          </a:ln>
          <a:effectLst/>
        </c:spPr>
        <c:dLbl>
          <c:idx val="0"/>
          <c:layout>
            <c:manualLayout>
              <c:x val="0.1382564696007825"/>
              <c:y val="3.4929665784127498E-2"/>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F755A898-B0AF-403F-A74A-457A374DF614}" type="VALUE">
                  <a:rPr lang="en-US" sz="800">
                    <a:latin typeface="Segoe UI Semibold" panose="020B0702040204020203" pitchFamily="34" charset="0"/>
                    <a:cs typeface="Segoe UI Semibold" panose="020B0702040204020203" pitchFamily="34" charset="0"/>
                  </a:rPr>
                  <a:pPr>
                    <a:defRPr sz="800">
                      <a:latin typeface="Segoe UI Semibold" panose="020B0702040204020203" pitchFamily="34" charset="0"/>
                      <a:cs typeface="Segoe UI Semibold" panose="020B0702040204020203" pitchFamily="34" charset="0"/>
                    </a:defRPr>
                  </a:pPr>
                  <a:t>[VALUE]</a:t>
                </a:fld>
                <a:endParaRPr lang="en-US" sz="800" baseline="0">
                  <a:latin typeface="Segoe UI Semibold" panose="020B0702040204020203" pitchFamily="34" charset="0"/>
                  <a:cs typeface="Segoe UI Semibold" panose="020B0702040204020203" pitchFamily="34" charset="0"/>
                </a:endParaRPr>
              </a:p>
              <a:p>
                <a:pPr>
                  <a:defRPr sz="800">
                    <a:latin typeface="Segoe UI Semibold" panose="020B0702040204020203" pitchFamily="34" charset="0"/>
                    <a:cs typeface="Segoe UI Semibold" panose="020B0702040204020203" pitchFamily="34" charset="0"/>
                  </a:defRPr>
                </a:pPr>
                <a:r>
                  <a:rPr lang="en-US" sz="800" baseline="0">
                    <a:latin typeface="Segoe UI Semibold" panose="020B0702040204020203" pitchFamily="34" charset="0"/>
                    <a:cs typeface="Segoe UI Semibold" panose="020B0702040204020203" pitchFamily="34" charset="0"/>
                  </a:rPr>
                  <a:t> </a:t>
                </a:r>
                <a:fld id="{54A10F39-184C-4E81-897B-12383F4F4792}" type="PERCENTAGE">
                  <a:rPr lang="en-US" sz="800" baseline="0">
                    <a:latin typeface="Segoe UI Semibold" panose="020B0702040204020203" pitchFamily="34" charset="0"/>
                    <a:cs typeface="Segoe UI Semibold" panose="020B0702040204020203" pitchFamily="34" charset="0"/>
                  </a:rPr>
                  <a:pPr>
                    <a:defRPr sz="800">
                      <a:latin typeface="Segoe UI Semibold" panose="020B0702040204020203" pitchFamily="34" charset="0"/>
                      <a:cs typeface="Segoe UI Semibold" panose="020B0702040204020203" pitchFamily="34" charset="0"/>
                    </a:defRPr>
                  </a:pPr>
                  <a:t>[PERCENTAGE]</a:t>
                </a:fld>
                <a:endParaRPr lang="en-US" sz="800" baseline="0">
                  <a:latin typeface="Segoe UI Semibold" panose="020B0702040204020203" pitchFamily="34" charset="0"/>
                  <a:cs typeface="Segoe UI Semibold" panose="020B0702040204020203"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003792792062132"/>
                  <c:h val="0.31400945368136179"/>
                </c:manualLayout>
              </c15:layout>
              <c15:dlblFieldTable/>
              <c15:showDataLabelsRange val="0"/>
            </c:ext>
          </c:extLst>
        </c:dLbl>
      </c:pivotFmt>
      <c:pivotFmt>
        <c:idx val="6"/>
        <c:spPr>
          <a:solidFill>
            <a:srgbClr val="00B050"/>
          </a:solidFill>
          <a:ln w="19050">
            <a:solidFill>
              <a:schemeClr val="lt1"/>
            </a:solidFill>
          </a:ln>
          <a:effectLst/>
        </c:spPr>
        <c:dLbl>
          <c:idx val="0"/>
          <c:layout>
            <c:manualLayout>
              <c:x val="-0.10369160376644718"/>
              <c:y val="-5.8209997873105044E-3"/>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CFA177F3-06D6-4FE4-BEF1-1D2235D9E2AB}" type="VALUE">
                  <a:rPr lang="en-US" sz="800">
                    <a:latin typeface="Segoe UI Semibold" panose="020B0702040204020203" pitchFamily="34" charset="0"/>
                    <a:cs typeface="Segoe UI Semibold" panose="020B0702040204020203" pitchFamily="34" charset="0"/>
                  </a:rPr>
                  <a:pPr>
                    <a:defRPr sz="800">
                      <a:latin typeface="Segoe UI Semibold" panose="020B0702040204020203" pitchFamily="34" charset="0"/>
                      <a:cs typeface="Segoe UI Semibold" panose="020B0702040204020203" pitchFamily="34" charset="0"/>
                    </a:defRPr>
                  </a:pPr>
                  <a:t>[VALUE]</a:t>
                </a:fld>
                <a:endParaRPr lang="en-US" sz="800">
                  <a:latin typeface="Segoe UI Semibold" panose="020B0702040204020203" pitchFamily="34" charset="0"/>
                  <a:cs typeface="Segoe UI Semibold" panose="020B0702040204020203" pitchFamily="34" charset="0"/>
                </a:endParaRPr>
              </a:p>
              <a:p>
                <a:pPr>
                  <a:defRPr sz="800">
                    <a:latin typeface="Segoe UI Semibold" panose="020B0702040204020203" pitchFamily="34" charset="0"/>
                    <a:cs typeface="Segoe UI Semibold" panose="020B0702040204020203" pitchFamily="34" charset="0"/>
                  </a:defRPr>
                </a:pPr>
                <a:r>
                  <a:rPr lang="en-US" sz="800" baseline="0">
                    <a:latin typeface="Segoe UI Semibold" panose="020B0702040204020203" pitchFamily="34" charset="0"/>
                    <a:cs typeface="Segoe UI Semibold" panose="020B0702040204020203" pitchFamily="34" charset="0"/>
                  </a:rPr>
                  <a:t> </a:t>
                </a:r>
                <a:fld id="{7CAFEC67-44BC-4457-BE43-3CB64AFDAC49}" type="PERCENTAGE">
                  <a:rPr lang="en-US" sz="800" baseline="0">
                    <a:latin typeface="Segoe UI Semibold" panose="020B0702040204020203" pitchFamily="34" charset="0"/>
                    <a:cs typeface="Segoe UI Semibold" panose="020B0702040204020203" pitchFamily="34" charset="0"/>
                  </a:rPr>
                  <a:pPr>
                    <a:defRPr sz="800">
                      <a:latin typeface="Segoe UI Semibold" panose="020B0702040204020203" pitchFamily="34" charset="0"/>
                      <a:cs typeface="Segoe UI Semibold" panose="020B0702040204020203" pitchFamily="34" charset="0"/>
                    </a:defRPr>
                  </a:pPr>
                  <a:t>[PERCENTAGE]</a:t>
                </a:fld>
                <a:endParaRPr lang="en-US" sz="800" baseline="0">
                  <a:latin typeface="Segoe UI Semibold" panose="020B0702040204020203" pitchFamily="34" charset="0"/>
                  <a:cs typeface="Segoe UI Semibold" panose="020B0702040204020203" pitchFamily="34" charset="0"/>
                </a:endParaRPr>
              </a:p>
            </c:rich>
          </c:tx>
          <c:numFmt formatCode="General"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77635753705839"/>
                  <c:h val="0.52358194779572997"/>
                </c:manualLayout>
              </c15:layout>
              <c15:dlblFieldTable/>
              <c15:showDataLabelsRange val="0"/>
            </c:ext>
          </c:extLst>
        </c:dLbl>
      </c:pivotFmt>
    </c:pivotFmts>
    <c:plotArea>
      <c:layout>
        <c:manualLayout>
          <c:layoutTarget val="inner"/>
          <c:xMode val="edge"/>
          <c:yMode val="edge"/>
          <c:x val="0.22662221570129823"/>
          <c:y val="0.21922320685524066"/>
          <c:w val="0.40182803236551951"/>
          <c:h val="0.67624717642002063"/>
        </c:manualLayout>
      </c:layout>
      <c:doughnutChart>
        <c:varyColors val="1"/>
        <c:ser>
          <c:idx val="0"/>
          <c:order val="0"/>
          <c:tx>
            <c:strRef>
              <c:f>'Design Sheet'!$C$13</c:f>
              <c:strCache>
                <c:ptCount val="1"/>
                <c:pt idx="0">
                  <c:v>Total</c:v>
                </c:pt>
              </c:strCache>
            </c:strRef>
          </c:tx>
          <c:spPr>
            <a:solidFill>
              <a:srgbClr val="00B05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A336-4568-988E-DDE7DD61C9F8}"/>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A336-4568-988E-DDE7DD61C9F8}"/>
              </c:ext>
            </c:extLst>
          </c:dPt>
          <c:dLbls>
            <c:dLbl>
              <c:idx val="0"/>
              <c:layout>
                <c:manualLayout>
                  <c:x val="0.1382564696007825"/>
                  <c:y val="3.4929665784127498E-2"/>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F755A898-B0AF-403F-A74A-457A374DF614}" type="VALUE">
                      <a:rPr lang="en-US" sz="800">
                        <a:latin typeface="Segoe UI Semibold" panose="020B0702040204020203" pitchFamily="34" charset="0"/>
                        <a:cs typeface="Segoe UI Semibold" panose="020B0702040204020203" pitchFamily="34" charset="0"/>
                      </a:rPr>
                      <a:pPr>
                        <a:defRPr sz="800">
                          <a:latin typeface="Segoe UI Semibold" panose="020B0702040204020203" pitchFamily="34" charset="0"/>
                          <a:cs typeface="Segoe UI Semibold" panose="020B0702040204020203" pitchFamily="34" charset="0"/>
                        </a:defRPr>
                      </a:pPr>
                      <a:t>[VALUE]</a:t>
                    </a:fld>
                    <a:endParaRPr lang="en-US" sz="800" baseline="0">
                      <a:latin typeface="Segoe UI Semibold" panose="020B0702040204020203" pitchFamily="34" charset="0"/>
                      <a:cs typeface="Segoe UI Semibold" panose="020B0702040204020203" pitchFamily="34" charset="0"/>
                    </a:endParaRPr>
                  </a:p>
                  <a:p>
                    <a:pPr>
                      <a:defRPr sz="800">
                        <a:latin typeface="Segoe UI Semibold" panose="020B0702040204020203" pitchFamily="34" charset="0"/>
                        <a:cs typeface="Segoe UI Semibold" panose="020B0702040204020203" pitchFamily="34" charset="0"/>
                      </a:defRPr>
                    </a:pPr>
                    <a:r>
                      <a:rPr lang="en-US" sz="800" baseline="0">
                        <a:latin typeface="Segoe UI Semibold" panose="020B0702040204020203" pitchFamily="34" charset="0"/>
                        <a:cs typeface="Segoe UI Semibold" panose="020B0702040204020203" pitchFamily="34" charset="0"/>
                      </a:rPr>
                      <a:t> </a:t>
                    </a:r>
                    <a:fld id="{54A10F39-184C-4E81-897B-12383F4F4792}" type="PERCENTAGE">
                      <a:rPr lang="en-US" sz="800" baseline="0">
                        <a:latin typeface="Segoe UI Semibold" panose="020B0702040204020203" pitchFamily="34" charset="0"/>
                        <a:cs typeface="Segoe UI Semibold" panose="020B0702040204020203" pitchFamily="34" charset="0"/>
                      </a:rPr>
                      <a:pPr>
                        <a:defRPr sz="800">
                          <a:latin typeface="Segoe UI Semibold" panose="020B0702040204020203" pitchFamily="34" charset="0"/>
                          <a:cs typeface="Segoe UI Semibold" panose="020B0702040204020203" pitchFamily="34" charset="0"/>
                        </a:defRPr>
                      </a:pPr>
                      <a:t>[PERCENTAGE]</a:t>
                    </a:fld>
                    <a:endParaRPr lang="en-US" sz="800" baseline="0">
                      <a:latin typeface="Segoe UI Semibold" panose="020B0702040204020203" pitchFamily="34" charset="0"/>
                      <a:cs typeface="Segoe UI Semibold" panose="020B0702040204020203"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003792792062132"/>
                      <c:h val="0.31400945368136179"/>
                    </c:manualLayout>
                  </c15:layout>
                  <c15:dlblFieldTable/>
                  <c15:showDataLabelsRange val="0"/>
                </c:ext>
                <c:ext xmlns:c16="http://schemas.microsoft.com/office/drawing/2014/chart" uri="{C3380CC4-5D6E-409C-BE32-E72D297353CC}">
                  <c16:uniqueId val="{00000001-A336-4568-988E-DDE7DD61C9F8}"/>
                </c:ext>
              </c:extLst>
            </c:dLbl>
            <c:dLbl>
              <c:idx val="1"/>
              <c:layout>
                <c:manualLayout>
                  <c:x val="-0.10369160376644718"/>
                  <c:y val="-5.8209997873105044E-3"/>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CFA177F3-06D6-4FE4-BEF1-1D2235D9E2AB}" type="VALUE">
                      <a:rPr lang="en-US" sz="800">
                        <a:latin typeface="Segoe UI Semibold" panose="020B0702040204020203" pitchFamily="34" charset="0"/>
                        <a:cs typeface="Segoe UI Semibold" panose="020B0702040204020203" pitchFamily="34" charset="0"/>
                      </a:rPr>
                      <a:pPr>
                        <a:defRPr sz="800">
                          <a:latin typeface="Segoe UI Semibold" panose="020B0702040204020203" pitchFamily="34" charset="0"/>
                          <a:cs typeface="Segoe UI Semibold" panose="020B0702040204020203" pitchFamily="34" charset="0"/>
                        </a:defRPr>
                      </a:pPr>
                      <a:t>[VALUE]</a:t>
                    </a:fld>
                    <a:endParaRPr lang="en-US" sz="800">
                      <a:latin typeface="Segoe UI Semibold" panose="020B0702040204020203" pitchFamily="34" charset="0"/>
                      <a:cs typeface="Segoe UI Semibold" panose="020B0702040204020203" pitchFamily="34" charset="0"/>
                    </a:endParaRPr>
                  </a:p>
                  <a:p>
                    <a:pPr>
                      <a:defRPr sz="800">
                        <a:latin typeface="Segoe UI Semibold" panose="020B0702040204020203" pitchFamily="34" charset="0"/>
                        <a:cs typeface="Segoe UI Semibold" panose="020B0702040204020203" pitchFamily="34" charset="0"/>
                      </a:defRPr>
                    </a:pPr>
                    <a:r>
                      <a:rPr lang="en-US" sz="800" baseline="0">
                        <a:latin typeface="Segoe UI Semibold" panose="020B0702040204020203" pitchFamily="34" charset="0"/>
                        <a:cs typeface="Segoe UI Semibold" panose="020B0702040204020203" pitchFamily="34" charset="0"/>
                      </a:rPr>
                      <a:t> </a:t>
                    </a:r>
                    <a:fld id="{7CAFEC67-44BC-4457-BE43-3CB64AFDAC49}" type="PERCENTAGE">
                      <a:rPr lang="en-US" sz="800" baseline="0">
                        <a:latin typeface="Segoe UI Semibold" panose="020B0702040204020203" pitchFamily="34" charset="0"/>
                        <a:cs typeface="Segoe UI Semibold" panose="020B0702040204020203" pitchFamily="34" charset="0"/>
                      </a:rPr>
                      <a:pPr>
                        <a:defRPr sz="800">
                          <a:latin typeface="Segoe UI Semibold" panose="020B0702040204020203" pitchFamily="34" charset="0"/>
                          <a:cs typeface="Segoe UI Semibold" panose="020B0702040204020203" pitchFamily="34" charset="0"/>
                        </a:defRPr>
                      </a:pPr>
                      <a:t>[PERCENTAGE]</a:t>
                    </a:fld>
                    <a:endParaRPr lang="en-US" sz="800" baseline="0">
                      <a:latin typeface="Segoe UI Semibold" panose="020B0702040204020203" pitchFamily="34" charset="0"/>
                      <a:cs typeface="Segoe UI Semibold" panose="020B0702040204020203" pitchFamily="34" charset="0"/>
                    </a:endParaRPr>
                  </a:p>
                </c:rich>
              </c:tx>
              <c:numFmt formatCode="General"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77635753705839"/>
                      <c:h val="0.52358194779572997"/>
                    </c:manualLayout>
                  </c15:layout>
                  <c15:dlblFieldTable/>
                  <c15:showDataLabelsRange val="0"/>
                </c:ext>
                <c:ext xmlns:c16="http://schemas.microsoft.com/office/drawing/2014/chart" uri="{C3380CC4-5D6E-409C-BE32-E72D297353CC}">
                  <c16:uniqueId val="{00000003-A336-4568-988E-DDE7DD61C9F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'Design Sheet'!$B$14:$B$16</c:f>
              <c:strCache>
                <c:ptCount val="2"/>
                <c:pt idx="0">
                  <c:v>Low Fat</c:v>
                </c:pt>
                <c:pt idx="1">
                  <c:v>Regular</c:v>
                </c:pt>
              </c:strCache>
            </c:strRef>
          </c:cat>
          <c:val>
            <c:numRef>
              <c:f>'Design Sheet'!$C$14:$C$16</c:f>
              <c:numCache>
                <c:formatCode>"$"0.0,"K"</c:formatCode>
                <c:ptCount val="2"/>
                <c:pt idx="0">
                  <c:v>776319.68840000057</c:v>
                </c:pt>
                <c:pt idx="1">
                  <c:v>425361.8043999995</c:v>
                </c:pt>
              </c:numCache>
            </c:numRef>
          </c:val>
          <c:extLst>
            <c:ext xmlns:c16="http://schemas.microsoft.com/office/drawing/2014/chart" uri="{C3380CC4-5D6E-409C-BE32-E72D297353CC}">
              <c16:uniqueId val="{00000004-A336-4568-988E-DDE7DD61C9F8}"/>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3666606891529864"/>
          <c:y val="2.3228803716608595E-2"/>
          <c:w val="0.66047024435270896"/>
          <c:h val="0.207319816730225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 Sheet!PivotTable4</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FFC000"/>
          </a:solidFill>
          <a:ln>
            <a:noFill/>
          </a:ln>
          <a:effectLst/>
        </c:spPr>
      </c:pivotFmt>
      <c:pivotFmt>
        <c:idx val="7"/>
        <c:spPr>
          <a:solidFill>
            <a:srgbClr val="FFC000"/>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FFC000"/>
          </a:solidFill>
          <a:ln>
            <a:noFill/>
          </a:ln>
          <a:effectLst/>
        </c:spPr>
      </c:pivotFmt>
    </c:pivotFmts>
    <c:plotArea>
      <c:layout>
        <c:manualLayout>
          <c:layoutTarget val="inner"/>
          <c:xMode val="edge"/>
          <c:yMode val="edge"/>
          <c:x val="0.23349278085801406"/>
          <c:y val="0.22686612914249504"/>
          <c:w val="0.63711865898419506"/>
          <c:h val="0.56973765147639643"/>
        </c:manualLayout>
      </c:layout>
      <c:barChart>
        <c:barDir val="bar"/>
        <c:grouping val="clustered"/>
        <c:varyColors val="0"/>
        <c:ser>
          <c:idx val="0"/>
          <c:order val="0"/>
          <c:tx>
            <c:strRef>
              <c:f>'Design Sheet'!$C$23:$C$24</c:f>
              <c:strCache>
                <c:ptCount val="1"/>
                <c:pt idx="0">
                  <c:v>Regular</c:v>
                </c:pt>
              </c:strCache>
            </c:strRef>
          </c:tx>
          <c:spPr>
            <a:solidFill>
              <a:srgbClr val="00B050"/>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'Design Sheet'!$B$25:$B$28</c:f>
              <c:strCache>
                <c:ptCount val="3"/>
                <c:pt idx="0">
                  <c:v>Tier 1</c:v>
                </c:pt>
                <c:pt idx="1">
                  <c:v>Tier 2</c:v>
                </c:pt>
                <c:pt idx="2">
                  <c:v>Tier 3</c:v>
                </c:pt>
              </c:strCache>
            </c:strRef>
          </c:cat>
          <c:val>
            <c:numRef>
              <c:f>'Design Sheet'!$C$25:$C$28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C0C-49AE-9EC3-C835D53E271A}"/>
            </c:ext>
          </c:extLst>
        </c:ser>
        <c:ser>
          <c:idx val="1"/>
          <c:order val="1"/>
          <c:tx>
            <c:strRef>
              <c:f>'Design Sheet'!$D$23:$D$24</c:f>
              <c:strCache>
                <c:ptCount val="1"/>
                <c:pt idx="0">
                  <c:v>Low Fat</c:v>
                </c:pt>
              </c:strCache>
            </c:strRef>
          </c:tx>
          <c:spPr>
            <a:solidFill>
              <a:srgbClr val="FFC000"/>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'Design Sheet'!$B$25:$B$28</c:f>
              <c:strCache>
                <c:ptCount val="3"/>
                <c:pt idx="0">
                  <c:v>Tier 1</c:v>
                </c:pt>
                <c:pt idx="1">
                  <c:v>Tier 2</c:v>
                </c:pt>
                <c:pt idx="2">
                  <c:v>Tier 3</c:v>
                </c:pt>
              </c:strCache>
            </c:strRef>
          </c:cat>
          <c:val>
            <c:numRef>
              <c:f>'Design Sheet'!$D$25:$D$28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C0C-49AE-9EC3-C835D53E271A}"/>
            </c:ext>
          </c:extLst>
        </c:ser>
        <c:dLbls>
          <c:dLblPos val="outEnd"/>
          <c:showLegendKey val="0"/>
          <c:showVal val="1"/>
          <c:showCatName val="0"/>
          <c:showSerName val="0"/>
          <c:showPercent val="0"/>
          <c:showBubbleSize val="0"/>
        </c:dLbls>
        <c:gapWidth val="60"/>
        <c:axId val="1782097903"/>
        <c:axId val="1522178511"/>
      </c:barChart>
      <c:catAx>
        <c:axId val="1782097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22178511"/>
        <c:crosses val="autoZero"/>
        <c:auto val="1"/>
        <c:lblAlgn val="ctr"/>
        <c:lblOffset val="100"/>
        <c:noMultiLvlLbl val="0"/>
      </c:catAx>
      <c:valAx>
        <c:axId val="1522178511"/>
        <c:scaling>
          <c:orientation val="minMax"/>
        </c:scaling>
        <c:delete val="1"/>
        <c:axPos val="b"/>
        <c:numFmt formatCode="&quot;$&quot;0.0,&quot;K&quot;" sourceLinked="1"/>
        <c:majorTickMark val="none"/>
        <c:minorTickMark val="none"/>
        <c:tickLblPos val="nextTo"/>
        <c:crossAx val="17820979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 Sheet!PivotTable5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222834358721514"/>
          <c:y val="3.9112775417506331E-2"/>
          <c:w val="0.43557730313693943"/>
          <c:h val="0.9217744491649873"/>
        </c:manualLayout>
      </c:layout>
      <c:barChart>
        <c:barDir val="bar"/>
        <c:grouping val="clustered"/>
        <c:varyColors val="0"/>
        <c:ser>
          <c:idx val="0"/>
          <c:order val="0"/>
          <c:tx>
            <c:strRef>
              <c:f>'Design Sheet'!$C$33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 Sheet'!$B$34:$B$50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 Sheet'!$C$34:$C$50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A27-4F8A-9E09-EBD4003D4C3E}"/>
            </c:ext>
          </c:extLst>
        </c:ser>
        <c:dLbls>
          <c:dLblPos val="outEnd"/>
          <c:showLegendKey val="0"/>
          <c:showVal val="1"/>
          <c:showCatName val="0"/>
          <c:showSerName val="0"/>
          <c:showPercent val="0"/>
          <c:showBubbleSize val="0"/>
        </c:dLbls>
        <c:gapWidth val="50"/>
        <c:axId val="1791897391"/>
        <c:axId val="1793957487"/>
      </c:barChart>
      <c:catAx>
        <c:axId val="1791897391"/>
        <c:scaling>
          <c:orientation val="minMax"/>
        </c:scaling>
        <c:delete val="0"/>
        <c:axPos val="l"/>
        <c:numFmt formatCode="General" sourceLinked="1"/>
        <c:majorTickMark val="none"/>
        <c:minorTickMark val="none"/>
        <c:tickLblPos val="nextTo"/>
        <c:spPr>
          <a:noFill/>
          <a:ln w="9525" cap="flat" cmpd="sng" algn="ctr">
            <a:noFill/>
            <a:round/>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93957487"/>
        <c:crosses val="autoZero"/>
        <c:auto val="1"/>
        <c:lblAlgn val="ctr"/>
        <c:lblOffset val="100"/>
        <c:noMultiLvlLbl val="0"/>
      </c:catAx>
      <c:valAx>
        <c:axId val="1793957487"/>
        <c:scaling>
          <c:orientation val="minMax"/>
        </c:scaling>
        <c:delete val="1"/>
        <c:axPos val="b"/>
        <c:numFmt formatCode="&quot;$&quot;0.0,&quot;K&quot;" sourceLinked="1"/>
        <c:majorTickMark val="none"/>
        <c:minorTickMark val="none"/>
        <c:tickLblPos val="nextTo"/>
        <c:crossAx val="179189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 Sheet!PivotTable7</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92D050"/>
          </a:solidFill>
          <a:ln w="19050">
            <a:solidFill>
              <a:schemeClr val="lt1"/>
            </a:solidFill>
          </a:ln>
          <a:effectLst/>
        </c:spPr>
      </c:pivotFmt>
      <c:pivotFmt>
        <c:idx val="7"/>
        <c:spPr>
          <a:solidFill>
            <a:srgbClr val="00B050"/>
          </a:solidFill>
          <a:ln w="19050">
            <a:solidFill>
              <a:schemeClr val="lt1"/>
            </a:solidFill>
          </a:ln>
          <a:effectLst/>
        </c:spPr>
        <c:dLbl>
          <c:idx val="0"/>
          <c:layout>
            <c:manualLayout>
              <c:x val="-1.8485732428684384E-2"/>
              <c:y val="-3.8052096718765464E-2"/>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FFD200"/>
          </a:solidFill>
          <a:ln w="19050">
            <a:solidFill>
              <a:schemeClr val="lt1"/>
            </a:solidFill>
          </a:ln>
          <a:effectLst/>
        </c:spPr>
        <c:dLbl>
          <c:idx val="0"/>
          <c:layout>
            <c:manualLayout>
              <c:x val="5.296333324807302E-3"/>
              <c:y val="-2.9457626511084644E-2"/>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pieChart>
        <c:varyColors val="1"/>
        <c:ser>
          <c:idx val="0"/>
          <c:order val="0"/>
          <c:tx>
            <c:strRef>
              <c:f>'Design Sheet'!$C$71</c:f>
              <c:strCache>
                <c:ptCount val="1"/>
                <c:pt idx="0">
                  <c:v>Total</c:v>
                </c:pt>
              </c:strCache>
            </c:strRef>
          </c:tx>
          <c:spPr>
            <a:solidFill>
              <a:srgbClr val="FFC00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5918-4E5A-943B-AD0A5E8BD3A2}"/>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5918-4E5A-943B-AD0A5E8BD3A2}"/>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5918-4E5A-943B-AD0A5E8BD3A2}"/>
              </c:ext>
            </c:extLst>
          </c:dPt>
          <c:dLbls>
            <c:dLbl>
              <c:idx val="1"/>
              <c:layout>
                <c:manualLayout>
                  <c:x val="-1.8485732428684384E-2"/>
                  <c:y val="-3.8052096718765464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18-4E5A-943B-AD0A5E8BD3A2}"/>
                </c:ext>
              </c:extLst>
            </c:dLbl>
            <c:dLbl>
              <c:idx val="2"/>
              <c:layout>
                <c:manualLayout>
                  <c:x val="5.296333324807302E-3"/>
                  <c:y val="-2.9457626511084644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18-4E5A-943B-AD0A5E8BD3A2}"/>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'Design Sheet'!$B$72:$B$75</c:f>
              <c:strCache>
                <c:ptCount val="3"/>
                <c:pt idx="0">
                  <c:v>High</c:v>
                </c:pt>
                <c:pt idx="1">
                  <c:v>Medium</c:v>
                </c:pt>
                <c:pt idx="2">
                  <c:v>Small</c:v>
                </c:pt>
              </c:strCache>
            </c:strRef>
          </c:cat>
          <c:val>
            <c:numRef>
              <c:f>'Design Sheet'!$C$72:$C$75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918-4E5A-943B-AD0A5E8BD3A2}"/>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 Sheet!PivotTable6</c:name>
    <c:fmtId val="42"/>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4971804184054679"/>
                  <c:h val="9.7308477379294933E-2"/>
                </c:manualLayout>
              </c15:layout>
            </c:ext>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4971804184054679"/>
                  <c:h val="9.7308477379294933E-2"/>
                </c:manualLayout>
              </c15:layout>
            </c:ext>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20"/>
        <c:spPr>
          <a:ln w="22225" cap="rnd" cmpd="sng" algn="ctr">
            <a:solidFill>
              <a:srgbClr val="FFD200"/>
            </a:solidFill>
            <a:round/>
          </a:ln>
          <a:effectLst/>
        </c:spPr>
        <c:marker>
          <c:symbol val="circle"/>
          <c:size val="4"/>
          <c:spPr>
            <a:solidFill>
              <a:srgbClr val="FFC000"/>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ln w="22225" cap="rnd" cmpd="sng" algn="ctr">
            <a:solidFill>
              <a:srgbClr val="FFD200"/>
            </a:solidFill>
            <a:round/>
          </a:ln>
          <a:effectLst/>
        </c:spPr>
        <c:marker>
          <c:symbol val="circle"/>
          <c:size val="4"/>
          <c:spPr>
            <a:solidFill>
              <a:srgbClr val="FFC000"/>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4971804184054679"/>
                  <c:h val="9.7308477379294933E-2"/>
                </c:manualLayout>
              </c15:layout>
            </c:ext>
          </c:extLst>
        </c:dLbl>
      </c:pivotFmt>
      <c:pivotFmt>
        <c:idx val="22"/>
        <c:spPr>
          <a:ln w="22225" cap="rnd" cmpd="sng" algn="ctr">
            <a:solidFill>
              <a:srgbClr val="FFD200"/>
            </a:solidFill>
            <a:round/>
          </a:ln>
          <a:effectLst/>
        </c:spPr>
        <c:marker>
          <c:symbol val="circle"/>
          <c:size val="4"/>
          <c:spPr>
            <a:solidFill>
              <a:srgbClr val="FFC000"/>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23"/>
        <c:spPr>
          <a:ln w="22225" cap="rnd" cmpd="sng" algn="ctr">
            <a:solidFill>
              <a:srgbClr val="FFD200"/>
            </a:solidFill>
            <a:round/>
          </a:ln>
          <a:effectLst/>
        </c:spPr>
        <c:marker>
          <c:symbol val="circle"/>
          <c:size val="4"/>
          <c:spPr>
            <a:solidFill>
              <a:srgbClr val="FFC000"/>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24"/>
        <c:spPr>
          <a:ln w="22225" cap="rnd" cmpd="sng" algn="ctr">
            <a:solidFill>
              <a:srgbClr val="FFD200"/>
            </a:solidFill>
            <a:round/>
          </a:ln>
          <a:effectLst/>
        </c:spPr>
        <c:marker>
          <c:symbol val="circle"/>
          <c:size val="4"/>
          <c:spPr>
            <a:solidFill>
              <a:srgbClr val="FFC000"/>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25"/>
        <c:spPr>
          <a:ln w="22225" cap="rnd" cmpd="sng" algn="ctr">
            <a:solidFill>
              <a:srgbClr val="FFD200"/>
            </a:solidFill>
            <a:round/>
          </a:ln>
          <a:effectLst/>
        </c:spPr>
        <c:marker>
          <c:symbol val="circle"/>
          <c:size val="4"/>
          <c:spPr>
            <a:solidFill>
              <a:srgbClr val="FFC000"/>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26"/>
        <c:spPr>
          <a:ln w="22225" cap="rnd" cmpd="sng" algn="ctr">
            <a:solidFill>
              <a:srgbClr val="FFD200"/>
            </a:solidFill>
            <a:round/>
          </a:ln>
          <a:effectLst/>
        </c:spPr>
        <c:marker>
          <c:symbol val="circle"/>
          <c:size val="4"/>
          <c:spPr>
            <a:solidFill>
              <a:srgbClr val="FFC000"/>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27"/>
        <c:spPr>
          <a:ln w="22225" cap="rnd" cmpd="sng" algn="ctr">
            <a:solidFill>
              <a:srgbClr val="FFD200"/>
            </a:solidFill>
            <a:round/>
          </a:ln>
          <a:effectLst/>
        </c:spPr>
        <c:marker>
          <c:symbol val="circle"/>
          <c:size val="4"/>
          <c:spPr>
            <a:solidFill>
              <a:srgbClr val="FFC000"/>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28"/>
        <c:spPr>
          <a:ln w="22225" cap="rnd" cmpd="sng" algn="ctr">
            <a:solidFill>
              <a:srgbClr val="FFD200"/>
            </a:solidFill>
            <a:round/>
          </a:ln>
          <a:effectLst/>
        </c:spPr>
        <c:marker>
          <c:symbol val="circle"/>
          <c:size val="4"/>
          <c:spPr>
            <a:solidFill>
              <a:srgbClr val="FFC000"/>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
        <c:idx val="29"/>
        <c:spPr>
          <a:ln w="22225" cap="rnd" cmpd="sng" algn="ctr">
            <a:solidFill>
              <a:srgbClr val="FFD200"/>
            </a:solidFill>
            <a:round/>
          </a:ln>
          <a:effectLst/>
        </c:spPr>
        <c:marker>
          <c:symbol val="circle"/>
          <c:size val="4"/>
          <c:spPr>
            <a:solidFill>
              <a:srgbClr val="FFC000"/>
            </a:solidFill>
            <a:ln w="9525" cap="flat" cmpd="sng" algn="ctr">
              <a:solidFill>
                <a:schemeClr val="accent1"/>
              </a:solidFill>
              <a:round/>
            </a:ln>
            <a:effectLst/>
          </c:spPr>
        </c:marker>
        <c:dLbl>
          <c:idx val="0"/>
          <c:spPr>
            <a:noFill/>
            <a:ln>
              <a:noFill/>
            </a:ln>
            <a:effectLst/>
          </c:spPr>
          <c:txPr>
            <a:bodyPr rot="0" spcFirstLastPara="1" vertOverflow="overflow" horzOverflow="overflow" vert="horz" wrap="none" lIns="38100" tIns="19050" rIns="38100" bIns="19050" anchor="ctr" anchorCtr="1">
              <a:no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61018456157875"/>
                  <c:h val="9.7308477379294933E-2"/>
                </c:manualLayout>
              </c15:layout>
            </c:ext>
          </c:extLst>
        </c:dLbl>
      </c:pivotFmt>
    </c:pivotFmts>
    <c:plotArea>
      <c:layout/>
      <c:lineChart>
        <c:grouping val="standard"/>
        <c:varyColors val="0"/>
        <c:ser>
          <c:idx val="0"/>
          <c:order val="0"/>
          <c:tx>
            <c:strRef>
              <c:f>'Design Sheet'!$C$55</c:f>
              <c:strCache>
                <c:ptCount val="1"/>
                <c:pt idx="0">
                  <c:v>Total</c:v>
                </c:pt>
              </c:strCache>
            </c:strRef>
          </c:tx>
          <c:spPr>
            <a:ln w="22225" cap="rnd" cmpd="sng" algn="ctr">
              <a:solidFill>
                <a:srgbClr val="FFD200"/>
              </a:solidFill>
              <a:round/>
            </a:ln>
            <a:effectLst/>
          </c:spPr>
          <c:marker>
            <c:symbol val="circle"/>
            <c:size val="4"/>
            <c:spPr>
              <a:solidFill>
                <a:srgbClr val="FFC000"/>
              </a:solidFill>
              <a:ln w="9525" cap="flat" cmpd="sng" algn="ctr">
                <a:solidFill>
                  <a:schemeClr val="accent1"/>
                </a:solidFill>
                <a:round/>
              </a:ln>
              <a:effectLst/>
            </c:spPr>
          </c:marker>
          <c:dLbls>
            <c:dLbl>
              <c:idx val="0"/>
              <c:dLblPos val="t"/>
              <c:showLegendKey val="0"/>
              <c:showVal val="1"/>
              <c:showCatName val="0"/>
              <c:showSerName val="0"/>
              <c:showPercent val="0"/>
              <c:showBubbleSize val="0"/>
              <c:extLst>
                <c:ext xmlns:c15="http://schemas.microsoft.com/office/drawing/2012/chart" uri="{CE6537A1-D6FC-4f65-9D91-7224C49458BB}">
                  <c15:layout>
                    <c:manualLayout>
                      <c:w val="0.14971804184054679"/>
                      <c:h val="9.7308477379294933E-2"/>
                    </c:manualLayout>
                  </c15:layout>
                </c:ext>
                <c:ext xmlns:c16="http://schemas.microsoft.com/office/drawing/2014/chart" uri="{C3380CC4-5D6E-409C-BE32-E72D297353CC}">
                  <c16:uniqueId val="{00000000-7B6B-4255-BB95-CD6BD26C27ED}"/>
                </c:ext>
              </c:extLst>
            </c:dLbl>
            <c:dLbl>
              <c:idx val="1"/>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 xmlns:c16="http://schemas.microsoft.com/office/drawing/2014/chart" uri="{C3380CC4-5D6E-409C-BE32-E72D297353CC}">
                  <c16:uniqueId val="{00000001-7B6B-4255-BB95-CD6BD26C27ED}"/>
                </c:ext>
              </c:extLst>
            </c:dLbl>
            <c:dLbl>
              <c:idx val="2"/>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 xmlns:c16="http://schemas.microsoft.com/office/drawing/2014/chart" uri="{C3380CC4-5D6E-409C-BE32-E72D297353CC}">
                  <c16:uniqueId val="{00000002-7B6B-4255-BB95-CD6BD26C27ED}"/>
                </c:ext>
              </c:extLst>
            </c:dLbl>
            <c:dLbl>
              <c:idx val="3"/>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 xmlns:c16="http://schemas.microsoft.com/office/drawing/2014/chart" uri="{C3380CC4-5D6E-409C-BE32-E72D297353CC}">
                  <c16:uniqueId val="{00000003-7B6B-4255-BB95-CD6BD26C27ED}"/>
                </c:ext>
              </c:extLst>
            </c:dLbl>
            <c:dLbl>
              <c:idx val="4"/>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 xmlns:c16="http://schemas.microsoft.com/office/drawing/2014/chart" uri="{C3380CC4-5D6E-409C-BE32-E72D297353CC}">
                  <c16:uniqueId val="{00000004-7B6B-4255-BB95-CD6BD26C27ED}"/>
                </c:ext>
              </c:extLst>
            </c:dLbl>
            <c:dLbl>
              <c:idx val="5"/>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 xmlns:c16="http://schemas.microsoft.com/office/drawing/2014/chart" uri="{C3380CC4-5D6E-409C-BE32-E72D297353CC}">
                  <c16:uniqueId val="{00000005-7B6B-4255-BB95-CD6BD26C27ED}"/>
                </c:ext>
              </c:extLst>
            </c:dLbl>
            <c:dLbl>
              <c:idx val="6"/>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 xmlns:c16="http://schemas.microsoft.com/office/drawing/2014/chart" uri="{C3380CC4-5D6E-409C-BE32-E72D297353CC}">
                  <c16:uniqueId val="{00000006-7B6B-4255-BB95-CD6BD26C27ED}"/>
                </c:ext>
              </c:extLst>
            </c:dLbl>
            <c:dLbl>
              <c:idx val="7"/>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 xmlns:c16="http://schemas.microsoft.com/office/drawing/2014/chart" uri="{C3380CC4-5D6E-409C-BE32-E72D297353CC}">
                  <c16:uniqueId val="{00000007-7B6B-4255-BB95-CD6BD26C27ED}"/>
                </c:ext>
              </c:extLst>
            </c:dLbl>
            <c:dLbl>
              <c:idx val="8"/>
              <c:dLblPos val="t"/>
              <c:showLegendKey val="0"/>
              <c:showVal val="1"/>
              <c:showCatName val="0"/>
              <c:showSerName val="0"/>
              <c:showPercent val="0"/>
              <c:showBubbleSize val="0"/>
              <c:extLst>
                <c:ext xmlns:c15="http://schemas.microsoft.com/office/drawing/2012/chart" uri="{CE6537A1-D6FC-4f65-9D91-7224C49458BB}">
                  <c15:layout>
                    <c:manualLayout>
                      <c:w val="0.17161018456157875"/>
                      <c:h val="9.7308477379294933E-2"/>
                    </c:manualLayout>
                  </c15:layout>
                </c:ext>
                <c:ext xmlns:c16="http://schemas.microsoft.com/office/drawing/2014/chart" uri="{C3380CC4-5D6E-409C-BE32-E72D297353CC}">
                  <c16:uniqueId val="{00000008-7B6B-4255-BB95-CD6BD26C27ED}"/>
                </c:ext>
              </c:extLst>
            </c:dLbl>
            <c:spPr>
              <a:noFill/>
              <a:ln>
                <a:noFill/>
              </a:ln>
              <a:effectLst/>
            </c:spPr>
            <c:txPr>
              <a:bodyPr rot="0" spcFirstLastPara="1" vertOverflow="overflow" horzOverflow="overflow" vert="horz" wrap="none" lIns="38100" tIns="19050" rIns="38100" bIns="19050" anchor="ctr" anchorCtr="1">
                <a:noAutofit/>
              </a:bodyPr>
              <a:lstStyle/>
              <a:p>
                <a:pPr>
                  <a:defRPr sz="800" b="0" i="0" u="none" strike="noStrike" kern="120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'Design Sheet'!$B$56:$B$65</c:f>
              <c:strCache>
                <c:ptCount val="9"/>
                <c:pt idx="0">
                  <c:v>2011</c:v>
                </c:pt>
                <c:pt idx="1">
                  <c:v>2012</c:v>
                </c:pt>
                <c:pt idx="2">
                  <c:v>2014</c:v>
                </c:pt>
                <c:pt idx="3">
                  <c:v>2015</c:v>
                </c:pt>
                <c:pt idx="4">
                  <c:v>2016</c:v>
                </c:pt>
                <c:pt idx="5">
                  <c:v>2017</c:v>
                </c:pt>
                <c:pt idx="6">
                  <c:v>2018</c:v>
                </c:pt>
                <c:pt idx="7">
                  <c:v>2020</c:v>
                </c:pt>
                <c:pt idx="8">
                  <c:v>2022</c:v>
                </c:pt>
              </c:strCache>
            </c:strRef>
          </c:cat>
          <c:val>
            <c:numRef>
              <c:f>'Design Sheet'!$C$56:$C$65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9-7B6B-4255-BB95-CD6BD26C27ED}"/>
            </c:ext>
          </c:extLst>
        </c:ser>
        <c:dLbls>
          <c:dLblPos val="t"/>
          <c:showLegendKey val="0"/>
          <c:showVal val="1"/>
          <c:showCatName val="0"/>
          <c:showSerName val="0"/>
          <c:showPercent val="0"/>
          <c:showBubbleSize val="0"/>
        </c:dLbls>
        <c:marker val="1"/>
        <c:smooth val="0"/>
        <c:axId val="1794359935"/>
        <c:axId val="1793966607"/>
      </c:lineChart>
      <c:catAx>
        <c:axId val="179435993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93966607"/>
        <c:crosses val="autoZero"/>
        <c:auto val="1"/>
        <c:lblAlgn val="ctr"/>
        <c:lblOffset val="100"/>
        <c:noMultiLvlLbl val="0"/>
      </c:catAx>
      <c:valAx>
        <c:axId val="1793966607"/>
        <c:scaling>
          <c:orientation val="minMax"/>
        </c:scaling>
        <c:delete val="1"/>
        <c:axPos val="l"/>
        <c:numFmt formatCode="&quot;$&quot;0.0,&quot;K&quot;" sourceLinked="1"/>
        <c:majorTickMark val="none"/>
        <c:minorTickMark val="none"/>
        <c:tickLblPos val="nextTo"/>
        <c:crossAx val="179435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 Sheet!PivotTable9</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C00000"/>
          </a:solidFill>
          <a:ln>
            <a:noFill/>
          </a:ln>
          <a:effectLst/>
        </c:spPr>
        <c:dLbl>
          <c:idx val="0"/>
          <c:layout>
            <c:manualLayout>
              <c:x val="-2.6526012619668415E-3"/>
              <c:y val="-4.309185805197223E-7"/>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8927129607004045"/>
                  <c:h val="0.16545205082770839"/>
                </c:manualLayout>
              </c15:layout>
            </c:ext>
          </c:extLst>
        </c:dLbl>
      </c:pivotFmt>
    </c:pivotFmts>
    <c:plotArea>
      <c:layout>
        <c:manualLayout>
          <c:layoutTarget val="inner"/>
          <c:xMode val="edge"/>
          <c:yMode val="edge"/>
          <c:x val="0.4571399965063716"/>
          <c:y val="3.3582099418879838E-2"/>
          <c:w val="0.46352396330838086"/>
          <c:h val="0.91044773488298714"/>
        </c:manualLayout>
      </c:layout>
      <c:barChart>
        <c:barDir val="bar"/>
        <c:grouping val="clustered"/>
        <c:varyColors val="0"/>
        <c:ser>
          <c:idx val="0"/>
          <c:order val="0"/>
          <c:tx>
            <c:strRef>
              <c:f>'Design Sheet'!$C$95</c:f>
              <c:strCache>
                <c:ptCount val="1"/>
                <c:pt idx="0">
                  <c:v>Total</c:v>
                </c:pt>
              </c:strCache>
            </c:strRef>
          </c:tx>
          <c:spPr>
            <a:solidFill>
              <a:srgbClr val="C00000"/>
            </a:solidFill>
            <a:ln>
              <a:noFill/>
            </a:ln>
            <a:effectLst/>
          </c:spPr>
          <c:invertIfNegative val="0"/>
          <c:dLbls>
            <c:dLbl>
              <c:idx val="3"/>
              <c:layout>
                <c:manualLayout>
                  <c:x val="-2.6526012619668415E-3"/>
                  <c:y val="-4.309185805197223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8927129607004045"/>
                      <c:h val="0.16545205082770839"/>
                    </c:manualLayout>
                  </c15:layout>
                </c:ext>
                <c:ext xmlns:c16="http://schemas.microsoft.com/office/drawing/2014/chart" uri="{C3380CC4-5D6E-409C-BE32-E72D297353CC}">
                  <c16:uniqueId val="{00000001-D052-4394-B4F0-02CEE8FE5556}"/>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'Design Sheet'!$B$96:$B$100</c:f>
              <c:strCache>
                <c:ptCount val="4"/>
                <c:pt idx="0">
                  <c:v>Grocery Store</c:v>
                </c:pt>
                <c:pt idx="1">
                  <c:v>Supermarket Type3</c:v>
                </c:pt>
                <c:pt idx="2">
                  <c:v>Supermarket Type2</c:v>
                </c:pt>
                <c:pt idx="3">
                  <c:v>Supermarket Type1</c:v>
                </c:pt>
              </c:strCache>
            </c:strRef>
          </c:cat>
          <c:val>
            <c:numRef>
              <c:f>'Design Sheet'!$C$96:$C$100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D052-4394-B4F0-02CEE8FE5556}"/>
            </c:ext>
          </c:extLst>
        </c:ser>
        <c:dLbls>
          <c:dLblPos val="outEnd"/>
          <c:showLegendKey val="0"/>
          <c:showVal val="1"/>
          <c:showCatName val="0"/>
          <c:showSerName val="0"/>
          <c:showPercent val="0"/>
          <c:showBubbleSize val="0"/>
        </c:dLbls>
        <c:gapWidth val="50"/>
        <c:axId val="1845406399"/>
        <c:axId val="1793996367"/>
      </c:barChart>
      <c:catAx>
        <c:axId val="184540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93996367"/>
        <c:crosses val="autoZero"/>
        <c:auto val="1"/>
        <c:lblAlgn val="ctr"/>
        <c:lblOffset val="100"/>
        <c:noMultiLvlLbl val="0"/>
      </c:catAx>
      <c:valAx>
        <c:axId val="1793996367"/>
        <c:scaling>
          <c:orientation val="minMax"/>
        </c:scaling>
        <c:delete val="1"/>
        <c:axPos val="b"/>
        <c:numFmt formatCode="&quot;$&quot;0.0,&quot;K&quot;" sourceLinked="1"/>
        <c:majorTickMark val="none"/>
        <c:minorTickMark val="none"/>
        <c:tickLblPos val="nextTo"/>
        <c:crossAx val="184540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 Sheet!PivotTable10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8A02B"/>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18A02B"/>
          </a:solidFill>
          <a:ln>
            <a:noFill/>
          </a:ln>
          <a:effectLst/>
        </c:spPr>
        <c:dLbl>
          <c:idx val="0"/>
          <c:layout>
            <c:manualLayout>
              <c:x val="0"/>
              <c:y val="0"/>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3.3777717180371716E-2"/>
          <c:y val="1.9787692832404068E-2"/>
          <c:w val="0.80590976128636505"/>
          <c:h val="0.93847266534669715"/>
        </c:manualLayout>
      </c:layout>
      <c:barChart>
        <c:barDir val="bar"/>
        <c:grouping val="clustered"/>
        <c:varyColors val="0"/>
        <c:ser>
          <c:idx val="0"/>
          <c:order val="0"/>
          <c:tx>
            <c:strRef>
              <c:f>'Design Sheet'!$C$106</c:f>
              <c:strCache>
                <c:ptCount val="1"/>
                <c:pt idx="0">
                  <c:v>Total</c:v>
                </c:pt>
              </c:strCache>
            </c:strRef>
          </c:tx>
          <c:spPr>
            <a:solidFill>
              <a:srgbClr val="18A02B"/>
            </a:solidFill>
            <a:ln>
              <a:noFill/>
            </a:ln>
            <a:effectLst/>
          </c:spPr>
          <c:invertIfNegative val="0"/>
          <c:dLbls>
            <c:dLbl>
              <c:idx val="2"/>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6E1-48EB-8DA5-235854FBF605}"/>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'Design Sheet'!$B$107:$B$111</c:f>
              <c:strCache>
                <c:ptCount val="4"/>
                <c:pt idx="0">
                  <c:v>Grocery Store</c:v>
                </c:pt>
                <c:pt idx="1">
                  <c:v>Supermarket Type3</c:v>
                </c:pt>
                <c:pt idx="2">
                  <c:v>Supermarket Type2</c:v>
                </c:pt>
                <c:pt idx="3">
                  <c:v>Supermarket Type1</c:v>
                </c:pt>
              </c:strCache>
            </c:strRef>
          </c:cat>
          <c:val>
            <c:numRef>
              <c:f>'Design Sheet'!$C$107:$C$111</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6E1-48EB-8DA5-235854FBF605}"/>
            </c:ext>
          </c:extLst>
        </c:ser>
        <c:dLbls>
          <c:dLblPos val="outEnd"/>
          <c:showLegendKey val="0"/>
          <c:showVal val="1"/>
          <c:showCatName val="0"/>
          <c:showSerName val="0"/>
          <c:showPercent val="0"/>
          <c:showBubbleSize val="0"/>
        </c:dLbls>
        <c:gapWidth val="50"/>
        <c:axId val="1845405471"/>
        <c:axId val="1793988687"/>
      </c:barChart>
      <c:catAx>
        <c:axId val="1845405471"/>
        <c:scaling>
          <c:orientation val="minMax"/>
        </c:scaling>
        <c:delete val="1"/>
        <c:axPos val="l"/>
        <c:numFmt formatCode="General" sourceLinked="1"/>
        <c:majorTickMark val="none"/>
        <c:minorTickMark val="none"/>
        <c:tickLblPos val="nextTo"/>
        <c:crossAx val="1793988687"/>
        <c:crosses val="autoZero"/>
        <c:auto val="1"/>
        <c:lblAlgn val="ctr"/>
        <c:lblOffset val="100"/>
        <c:noMultiLvlLbl val="0"/>
      </c:catAx>
      <c:valAx>
        <c:axId val="1793988687"/>
        <c:scaling>
          <c:orientation val="minMax"/>
        </c:scaling>
        <c:delete val="1"/>
        <c:axPos val="b"/>
        <c:numFmt formatCode="&quot;$&quot;0&quot;K&quot;" sourceLinked="1"/>
        <c:majorTickMark val="none"/>
        <c:minorTickMark val="none"/>
        <c:tickLblPos val="nextTo"/>
        <c:crossAx val="184540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 Sheet!PivotTable11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2653607274420239"/>
          <c:y val="2.2971051026243333E-2"/>
          <c:w val="0.83895408923465142"/>
          <c:h val="0.9547217259180133"/>
        </c:manualLayout>
      </c:layout>
      <c:barChart>
        <c:barDir val="bar"/>
        <c:grouping val="clustered"/>
        <c:varyColors val="0"/>
        <c:ser>
          <c:idx val="0"/>
          <c:order val="0"/>
          <c:tx>
            <c:strRef>
              <c:f>'Design Sheet'!$C$116</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'Design Sheet'!$B$117:$B$121</c:f>
              <c:strCache>
                <c:ptCount val="4"/>
                <c:pt idx="0">
                  <c:v>Grocery Store</c:v>
                </c:pt>
                <c:pt idx="1">
                  <c:v>Supermarket Type3</c:v>
                </c:pt>
                <c:pt idx="2">
                  <c:v>Supermarket Type2</c:v>
                </c:pt>
                <c:pt idx="3">
                  <c:v>Supermarket Type1</c:v>
                </c:pt>
              </c:strCache>
            </c:strRef>
          </c:cat>
          <c:val>
            <c:numRef>
              <c:f>'Design Sheet'!$C$117:$C$121</c:f>
              <c:numCache>
                <c:formatCode>0.00</c:formatCode>
                <c:ptCount val="4"/>
                <c:pt idx="0">
                  <c:v>3.9858725761772842</c:v>
                </c:pt>
                <c:pt idx="1">
                  <c:v>3.9529411764705853</c:v>
                </c:pt>
                <c:pt idx="2">
                  <c:v>3.9712284482758555</c:v>
                </c:pt>
                <c:pt idx="3">
                  <c:v>3.9632418863188126</c:v>
                </c:pt>
              </c:numCache>
            </c:numRef>
          </c:val>
          <c:extLst>
            <c:ext xmlns:c16="http://schemas.microsoft.com/office/drawing/2014/chart" uri="{C3380CC4-5D6E-409C-BE32-E72D297353CC}">
              <c16:uniqueId val="{00000000-67DA-4224-8BE3-F7F728657844}"/>
            </c:ext>
          </c:extLst>
        </c:ser>
        <c:dLbls>
          <c:dLblPos val="outEnd"/>
          <c:showLegendKey val="0"/>
          <c:showVal val="1"/>
          <c:showCatName val="0"/>
          <c:showSerName val="0"/>
          <c:showPercent val="0"/>
          <c:showBubbleSize val="0"/>
        </c:dLbls>
        <c:gapWidth val="50"/>
        <c:axId val="1843540543"/>
        <c:axId val="1793993967"/>
      </c:barChart>
      <c:catAx>
        <c:axId val="1843540543"/>
        <c:scaling>
          <c:orientation val="minMax"/>
        </c:scaling>
        <c:delete val="1"/>
        <c:axPos val="l"/>
        <c:numFmt formatCode="General" sourceLinked="1"/>
        <c:majorTickMark val="none"/>
        <c:minorTickMark val="none"/>
        <c:tickLblPos val="nextTo"/>
        <c:crossAx val="1793993967"/>
        <c:crosses val="autoZero"/>
        <c:auto val="1"/>
        <c:lblAlgn val="ctr"/>
        <c:lblOffset val="100"/>
        <c:noMultiLvlLbl val="0"/>
      </c:catAx>
      <c:valAx>
        <c:axId val="1793993967"/>
        <c:scaling>
          <c:orientation val="minMax"/>
        </c:scaling>
        <c:delete val="1"/>
        <c:axPos val="b"/>
        <c:numFmt formatCode="0.00" sourceLinked="1"/>
        <c:majorTickMark val="none"/>
        <c:minorTickMark val="none"/>
        <c:tickLblPos val="nextTo"/>
        <c:crossAx val="184354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CB8B-4316-83DA-728CFBB8226D}">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00000000-CB8B-4316-83DA-728CFBB8226D}">
          <cx:tx>
            <cx:txData>
              <cx:f>_xlchart.v2.7</cx:f>
              <cx:v>Sales</cx:v>
            </cx:txData>
          </cx:tx>
          <cx:spPr>
            <a:solidFill>
              <a:srgbClr val="FFD200"/>
            </a:solidFill>
          </cx:spPr>
          <cx:dataPt idx="1">
            <cx:spPr>
              <a:solidFill>
                <a:srgbClr val="00B05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sz="105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5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5" Type="http://schemas.microsoft.com/office/2014/relationships/chartEx" Target="../charts/chartEx2.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6</xdr:col>
      <xdr:colOff>434339</xdr:colOff>
      <xdr:row>1</xdr:row>
      <xdr:rowOff>181225</xdr:rowOff>
    </xdr:from>
    <xdr:to>
      <xdr:col>9</xdr:col>
      <xdr:colOff>251459</xdr:colOff>
      <xdr:row>8</xdr:row>
      <xdr:rowOff>91109</xdr:rowOff>
    </xdr:to>
    <mc:AlternateContent xmlns:mc="http://schemas.openxmlformats.org/markup-compatibility/2006">
      <mc:Choice xmlns:a14="http://schemas.microsoft.com/office/drawing/2010/main" Requires="a14">
        <xdr:graphicFrame macro="">
          <xdr:nvGraphicFramePr>
            <xdr:cNvPr id="2" name="Outlet Location Type">
              <a:extLst>
                <a:ext uri="{FF2B5EF4-FFF2-40B4-BE49-F238E27FC236}">
                  <a16:creationId xmlns:a16="http://schemas.microsoft.com/office/drawing/2014/main" id="{4BAEF5F9-FECE-45DA-FB4A-0654BA2C9D5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457991" y="380008"/>
              <a:ext cx="1829794" cy="1433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608938</xdr:colOff>
      <xdr:row>1</xdr:row>
      <xdr:rowOff>163334</xdr:rowOff>
    </xdr:from>
    <xdr:to>
      <xdr:col>12</xdr:col>
      <xdr:colOff>426058</xdr:colOff>
      <xdr:row>8</xdr:row>
      <xdr:rowOff>57978</xdr:rowOff>
    </xdr:to>
    <mc:AlternateContent xmlns:mc="http://schemas.openxmlformats.org/markup-compatibility/2006">
      <mc:Choice xmlns:a14="http://schemas.microsoft.com/office/drawing/2010/main" Requires="a14">
        <xdr:graphicFrame macro="">
          <xdr:nvGraphicFramePr>
            <xdr:cNvPr id="3" name="Outlet Size">
              <a:extLst>
                <a:ext uri="{FF2B5EF4-FFF2-40B4-BE49-F238E27FC236}">
                  <a16:creationId xmlns:a16="http://schemas.microsoft.com/office/drawing/2014/main" id="{DEDBC5D9-8CA1-19B5-7F9E-25481EF3FA4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9645264" y="362117"/>
              <a:ext cx="1829794" cy="1418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217170</xdr:colOff>
      <xdr:row>12</xdr:row>
      <xdr:rowOff>41910</xdr:rowOff>
    </xdr:from>
    <xdr:to>
      <xdr:col>4</xdr:col>
      <xdr:colOff>1150620</xdr:colOff>
      <xdr:row>17</xdr:row>
      <xdr:rowOff>144780</xdr:rowOff>
    </xdr:to>
    <xdr:graphicFrame macro="">
      <xdr:nvGraphicFramePr>
        <xdr:cNvPr id="4" name="Chart 3">
          <a:extLst>
            <a:ext uri="{FF2B5EF4-FFF2-40B4-BE49-F238E27FC236}">
              <a16:creationId xmlns:a16="http://schemas.microsoft.com/office/drawing/2014/main" id="{C30EF89F-5B3A-348A-496A-7788ED96C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259080</xdr:colOff>
      <xdr:row>21</xdr:row>
      <xdr:rowOff>22860</xdr:rowOff>
    </xdr:from>
    <xdr:to>
      <xdr:col>8</xdr:col>
      <xdr:colOff>655320</xdr:colOff>
      <xdr:row>27</xdr:row>
      <xdr:rowOff>198120</xdr:rowOff>
    </xdr:to>
    <xdr:graphicFrame macro="">
      <xdr:nvGraphicFramePr>
        <xdr:cNvPr id="5" name="Chart 4">
          <a:extLst>
            <a:ext uri="{FF2B5EF4-FFF2-40B4-BE49-F238E27FC236}">
              <a16:creationId xmlns:a16="http://schemas.microsoft.com/office/drawing/2014/main" id="{639C64BF-88E3-78C7-16F1-F42F1AB38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308610</xdr:colOff>
      <xdr:row>32</xdr:row>
      <xdr:rowOff>38100</xdr:rowOff>
    </xdr:from>
    <xdr:to>
      <xdr:col>7</xdr:col>
      <xdr:colOff>609600</xdr:colOff>
      <xdr:row>49</xdr:row>
      <xdr:rowOff>175260</xdr:rowOff>
    </xdr:to>
    <xdr:graphicFrame macro="">
      <xdr:nvGraphicFramePr>
        <xdr:cNvPr id="6" name="Chart 5">
          <a:extLst>
            <a:ext uri="{FF2B5EF4-FFF2-40B4-BE49-F238E27FC236}">
              <a16:creationId xmlns:a16="http://schemas.microsoft.com/office/drawing/2014/main" id="{209C81E0-21F9-FB44-174D-7668F221C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346710</xdr:colOff>
      <xdr:row>54</xdr:row>
      <xdr:rowOff>99060</xdr:rowOff>
    </xdr:from>
    <xdr:to>
      <xdr:col>5</xdr:col>
      <xdr:colOff>632460</xdr:colOff>
      <xdr:row>63</xdr:row>
      <xdr:rowOff>144780</xdr:rowOff>
    </xdr:to>
    <xdr:graphicFrame macro="">
      <xdr:nvGraphicFramePr>
        <xdr:cNvPr id="7" name="Chart 6">
          <a:extLst>
            <a:ext uri="{FF2B5EF4-FFF2-40B4-BE49-F238E27FC236}">
              <a16:creationId xmlns:a16="http://schemas.microsoft.com/office/drawing/2014/main" id="{DC4293CD-BACC-639D-3C76-8680A1D4DA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339090</xdr:colOff>
      <xdr:row>70</xdr:row>
      <xdr:rowOff>15240</xdr:rowOff>
    </xdr:from>
    <xdr:to>
      <xdr:col>5</xdr:col>
      <xdr:colOff>106680</xdr:colOff>
      <xdr:row>76</xdr:row>
      <xdr:rowOff>121920</xdr:rowOff>
    </xdr:to>
    <xdr:graphicFrame macro="">
      <xdr:nvGraphicFramePr>
        <xdr:cNvPr id="8" name="Chart 7">
          <a:extLst>
            <a:ext uri="{FF2B5EF4-FFF2-40B4-BE49-F238E27FC236}">
              <a16:creationId xmlns:a16="http://schemas.microsoft.com/office/drawing/2014/main" id="{D806FBB6-7DF6-49F5-D91F-56C0B7BA9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278130</xdr:colOff>
      <xdr:row>80</xdr:row>
      <xdr:rowOff>60960</xdr:rowOff>
    </xdr:from>
    <xdr:to>
      <xdr:col>11</xdr:col>
      <xdr:colOff>106680</xdr:colOff>
      <xdr:row>87</xdr:row>
      <xdr:rowOff>175260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FCBC8E7A-C38C-18C1-C144-E4AE3EDE6E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313170" y="16642080"/>
              <a:ext cx="3181350" cy="1516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293370</xdr:colOff>
      <xdr:row>94</xdr:row>
      <xdr:rowOff>30480</xdr:rowOff>
    </xdr:from>
    <xdr:to>
      <xdr:col>4</xdr:col>
      <xdr:colOff>1118152</xdr:colOff>
      <xdr:row>100</xdr:row>
      <xdr:rowOff>190500</xdr:rowOff>
    </xdr:to>
    <xdr:graphicFrame macro="">
      <xdr:nvGraphicFramePr>
        <xdr:cNvPr id="11" name="Chart 10">
          <a:extLst>
            <a:ext uri="{FF2B5EF4-FFF2-40B4-BE49-F238E27FC236}">
              <a16:creationId xmlns:a16="http://schemas.microsoft.com/office/drawing/2014/main" id="{931407A0-106F-5B15-AE8E-C087FAAE0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240031</xdr:colOff>
      <xdr:row>104</xdr:row>
      <xdr:rowOff>190500</xdr:rowOff>
    </xdr:from>
    <xdr:to>
      <xdr:col>4</xdr:col>
      <xdr:colOff>1200979</xdr:colOff>
      <xdr:row>111</xdr:row>
      <xdr:rowOff>60960</xdr:rowOff>
    </xdr:to>
    <xdr:graphicFrame macro="">
      <xdr:nvGraphicFramePr>
        <xdr:cNvPr id="12" name="Chart 11">
          <a:extLst>
            <a:ext uri="{FF2B5EF4-FFF2-40B4-BE49-F238E27FC236}">
              <a16:creationId xmlns:a16="http://schemas.microsoft.com/office/drawing/2014/main" id="{A8FA1EE8-C8DF-2594-EC34-102DBDEA0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194311</xdr:colOff>
      <xdr:row>115</xdr:row>
      <xdr:rowOff>22860</xdr:rowOff>
    </xdr:from>
    <xdr:to>
      <xdr:col>4</xdr:col>
      <xdr:colOff>1176131</xdr:colOff>
      <xdr:row>121</xdr:row>
      <xdr:rowOff>45720</xdr:rowOff>
    </xdr:to>
    <xdr:graphicFrame macro="">
      <xdr:nvGraphicFramePr>
        <xdr:cNvPr id="13" name="Chart 12">
          <a:extLst>
            <a:ext uri="{FF2B5EF4-FFF2-40B4-BE49-F238E27FC236}">
              <a16:creationId xmlns:a16="http://schemas.microsoft.com/office/drawing/2014/main" id="{6F297C2A-7AC1-E7BB-2EB5-077E02C96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43732</xdr:colOff>
      <xdr:row>1</xdr:row>
      <xdr:rowOff>128877</xdr:rowOff>
    </xdr:from>
    <xdr:to>
      <xdr:col>15</xdr:col>
      <xdr:colOff>530749</xdr:colOff>
      <xdr:row>13</xdr:row>
      <xdr:rowOff>174018</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EDE06027-C0D9-5CDE-CBC8-1A51D678F49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1763623" y="3276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53340</xdr:colOff>
      <xdr:row>0</xdr:row>
      <xdr:rowOff>91440</xdr:rowOff>
    </xdr:from>
    <xdr:to>
      <xdr:col>20</xdr:col>
      <xdr:colOff>114300</xdr:colOff>
      <xdr:row>29</xdr:row>
      <xdr:rowOff>0</xdr:rowOff>
    </xdr:to>
    <xdr:sp macro="" textlink="">
      <xdr:nvSpPr>
        <xdr:cNvPr id="2" name="Rectangle 1">
          <a:extLst>
            <a:ext uri="{FF2B5EF4-FFF2-40B4-BE49-F238E27FC236}">
              <a16:creationId xmlns:a16="http://schemas.microsoft.com/office/drawing/2014/main" id="{0121EEBE-66AD-0683-6D32-A96AF0DB80BC}"/>
            </a:ext>
          </a:extLst>
        </xdr:cNvPr>
        <xdr:cNvSpPr/>
      </xdr:nvSpPr>
      <xdr:spPr>
        <a:xfrm>
          <a:off x="726735" y="91440"/>
          <a:ext cx="12855472" cy="556153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4</xdr:col>
      <xdr:colOff>121920</xdr:colOff>
      <xdr:row>1</xdr:row>
      <xdr:rowOff>7620</xdr:rowOff>
    </xdr:from>
    <xdr:to>
      <xdr:col>7</xdr:col>
      <xdr:colOff>641670</xdr:colOff>
      <xdr:row>6</xdr:row>
      <xdr:rowOff>0</xdr:rowOff>
    </xdr:to>
    <xdr:sp macro="" textlink="">
      <xdr:nvSpPr>
        <xdr:cNvPr id="3" name="Rectangle: Rounded Corners 2">
          <a:extLst>
            <a:ext uri="{FF2B5EF4-FFF2-40B4-BE49-F238E27FC236}">
              <a16:creationId xmlns:a16="http://schemas.microsoft.com/office/drawing/2014/main" id="{25A158AD-1FF8-014D-244B-3402D89862FC}"/>
            </a:ext>
          </a:extLst>
        </xdr:cNvPr>
        <xdr:cNvSpPr/>
      </xdr:nvSpPr>
      <xdr:spPr>
        <a:xfrm>
          <a:off x="2815501" y="202550"/>
          <a:ext cx="2539936" cy="967031"/>
        </a:xfrm>
        <a:prstGeom prst="roundRect">
          <a:avLst/>
        </a:prstGeom>
        <a:gradFill flip="none" rotWithShape="1">
          <a:gsLst>
            <a:gs pos="0">
              <a:srgbClr val="FFD200">
                <a:alpha val="60000"/>
              </a:srgbClr>
            </a:gs>
            <a:gs pos="0">
              <a:srgbClr val="FFD200"/>
            </a:gs>
            <a:gs pos="54000">
              <a:schemeClr val="accent6">
                <a:lumMod val="75000"/>
                <a:alpha val="45000"/>
              </a:schemeClr>
            </a:gs>
            <a:gs pos="100000">
              <a:schemeClr val="accent6">
                <a:lumMod val="50000"/>
                <a:alpha val="50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167639</xdr:colOff>
      <xdr:row>1</xdr:row>
      <xdr:rowOff>0</xdr:rowOff>
    </xdr:from>
    <xdr:to>
      <xdr:col>3</xdr:col>
      <xdr:colOff>620232</xdr:colOff>
      <xdr:row>28</xdr:row>
      <xdr:rowOff>68580</xdr:rowOff>
    </xdr:to>
    <xdr:sp macro="" textlink="">
      <xdr:nvSpPr>
        <xdr:cNvPr id="4" name="Rectangle: Top Corners Rounded 3">
          <a:extLst>
            <a:ext uri="{FF2B5EF4-FFF2-40B4-BE49-F238E27FC236}">
              <a16:creationId xmlns:a16="http://schemas.microsoft.com/office/drawing/2014/main" id="{820C11DC-5442-9CB9-356B-094FE5D3ED12}"/>
            </a:ext>
          </a:extLst>
        </xdr:cNvPr>
        <xdr:cNvSpPr/>
      </xdr:nvSpPr>
      <xdr:spPr>
        <a:xfrm rot="5400000">
          <a:off x="-925123" y="1961087"/>
          <a:ext cx="5331697" cy="1799384"/>
        </a:xfrm>
        <a:prstGeom prst="round2SameRect">
          <a:avLst/>
        </a:prstGeom>
        <a:solidFill>
          <a:srgbClr val="FFD2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104602</xdr:colOff>
      <xdr:row>6</xdr:row>
      <xdr:rowOff>104602</xdr:rowOff>
    </xdr:from>
    <xdr:to>
      <xdr:col>11</xdr:col>
      <xdr:colOff>624352</xdr:colOff>
      <xdr:row>11</xdr:row>
      <xdr:rowOff>96982</xdr:rowOff>
    </xdr:to>
    <xdr:sp macro="" textlink="">
      <xdr:nvSpPr>
        <xdr:cNvPr id="5" name="Rectangle: Rounded Corners 4">
          <a:extLst>
            <a:ext uri="{FF2B5EF4-FFF2-40B4-BE49-F238E27FC236}">
              <a16:creationId xmlns:a16="http://schemas.microsoft.com/office/drawing/2014/main" id="{277A4C24-3F95-4C05-AF22-0E481034C11B}"/>
            </a:ext>
          </a:extLst>
        </xdr:cNvPr>
        <xdr:cNvSpPr/>
      </xdr:nvSpPr>
      <xdr:spPr>
        <a:xfrm>
          <a:off x="5491765" y="1274183"/>
          <a:ext cx="2539936" cy="967032"/>
        </a:xfrm>
        <a:prstGeom prst="roundRect">
          <a:avLst>
            <a:gd name="adj" fmla="val 13567"/>
          </a:avLst>
        </a:prstGeom>
        <a:solidFill>
          <a:srgbClr val="FFD200">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121920</xdr:colOff>
      <xdr:row>6</xdr:row>
      <xdr:rowOff>113060</xdr:rowOff>
    </xdr:from>
    <xdr:to>
      <xdr:col>7</xdr:col>
      <xdr:colOff>641670</xdr:colOff>
      <xdr:row>11</xdr:row>
      <xdr:rowOff>105440</xdr:rowOff>
    </xdr:to>
    <xdr:sp macro="" textlink="">
      <xdr:nvSpPr>
        <xdr:cNvPr id="6" name="Rectangle: Rounded Corners 5">
          <a:extLst>
            <a:ext uri="{FF2B5EF4-FFF2-40B4-BE49-F238E27FC236}">
              <a16:creationId xmlns:a16="http://schemas.microsoft.com/office/drawing/2014/main" id="{416F9EB1-16F3-49CB-B255-50BBEFB95AAE}"/>
            </a:ext>
          </a:extLst>
        </xdr:cNvPr>
        <xdr:cNvSpPr/>
      </xdr:nvSpPr>
      <xdr:spPr>
        <a:xfrm>
          <a:off x="2815501" y="1282641"/>
          <a:ext cx="2539936" cy="967032"/>
        </a:xfrm>
        <a:prstGeom prst="roundRect">
          <a:avLst/>
        </a:prstGeom>
        <a:solidFill>
          <a:srgbClr val="FFD200">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89362</xdr:colOff>
      <xdr:row>1</xdr:row>
      <xdr:rowOff>16279</xdr:rowOff>
    </xdr:from>
    <xdr:to>
      <xdr:col>11</xdr:col>
      <xdr:colOff>609112</xdr:colOff>
      <xdr:row>6</xdr:row>
      <xdr:rowOff>8659</xdr:rowOff>
    </xdr:to>
    <xdr:sp macro="" textlink="">
      <xdr:nvSpPr>
        <xdr:cNvPr id="7" name="Rectangle: Rounded Corners 6">
          <a:extLst>
            <a:ext uri="{FF2B5EF4-FFF2-40B4-BE49-F238E27FC236}">
              <a16:creationId xmlns:a16="http://schemas.microsoft.com/office/drawing/2014/main" id="{33EACBB4-02CA-43F1-8C10-4C1B87E781E9}"/>
            </a:ext>
          </a:extLst>
        </xdr:cNvPr>
        <xdr:cNvSpPr/>
      </xdr:nvSpPr>
      <xdr:spPr>
        <a:xfrm>
          <a:off x="5423362" y="215438"/>
          <a:ext cx="2520000" cy="988176"/>
        </a:xfrm>
        <a:prstGeom prst="roundRect">
          <a:avLst/>
        </a:prstGeom>
        <a:solidFill>
          <a:srgbClr val="FFD200">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24100</xdr:colOff>
      <xdr:row>1</xdr:row>
      <xdr:rowOff>116161</xdr:rowOff>
    </xdr:from>
    <xdr:to>
      <xdr:col>6</xdr:col>
      <xdr:colOff>514616</xdr:colOff>
      <xdr:row>3</xdr:row>
      <xdr:rowOff>161881</xdr:rowOff>
    </xdr:to>
    <xdr:sp macro="" textlink="'Design Sheet'!B8">
      <xdr:nvSpPr>
        <xdr:cNvPr id="8" name="TextBox 7">
          <a:extLst>
            <a:ext uri="{FF2B5EF4-FFF2-40B4-BE49-F238E27FC236}">
              <a16:creationId xmlns:a16="http://schemas.microsoft.com/office/drawing/2014/main" id="{8096C22F-9FFF-11B2-F593-26FEC2F62F52}"/>
            </a:ext>
          </a:extLst>
        </xdr:cNvPr>
        <xdr:cNvSpPr txBox="1"/>
      </xdr:nvSpPr>
      <xdr:spPr>
        <a:xfrm>
          <a:off x="3391077" y="311091"/>
          <a:ext cx="1163911" cy="435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35882D-E545-47CE-90E9-24A3AAF0C6D7}" type="TxLink">
            <a:rPr lang="en-US" sz="2000" b="0" i="0" u="none" strike="noStrike">
              <a:ln>
                <a:noFill/>
              </a:ln>
              <a:solidFill>
                <a:srgbClr val="002060"/>
              </a:solidFill>
              <a:effectLst/>
              <a:latin typeface="Segoe UI Black" panose="020B0A02040204020203" pitchFamily="34" charset="0"/>
              <a:ea typeface="Segoe UI Black" panose="020B0A02040204020203" pitchFamily="34" charset="0"/>
              <a:cs typeface="Calibri"/>
            </a:rPr>
            <a:pPr algn="ctr"/>
            <a:t>$1.20M</a:t>
          </a:fld>
          <a:endParaRPr lang="en-IN" sz="2000">
            <a:ln>
              <a:noFill/>
            </a:ln>
            <a:solidFill>
              <a:srgbClr val="002060"/>
            </a:solidFill>
            <a:effectLst/>
            <a:latin typeface="Segoe UI Black" panose="020B0A02040204020203" pitchFamily="34" charset="0"/>
            <a:ea typeface="Segoe UI Black" panose="020B0A02040204020203" pitchFamily="34" charset="0"/>
          </a:endParaRPr>
        </a:p>
      </xdr:txBody>
    </xdr:sp>
    <xdr:clientData/>
  </xdr:twoCellAnchor>
  <xdr:twoCellAnchor editAs="oneCell">
    <xdr:from>
      <xdr:col>1</xdr:col>
      <xdr:colOff>246321</xdr:colOff>
      <xdr:row>5</xdr:row>
      <xdr:rowOff>113945</xdr:rowOff>
    </xdr:from>
    <xdr:to>
      <xdr:col>3</xdr:col>
      <xdr:colOff>567070</xdr:colOff>
      <xdr:row>11</xdr:row>
      <xdr:rowOff>124046</xdr:rowOff>
    </xdr:to>
    <mc:AlternateContent xmlns:mc="http://schemas.openxmlformats.org/markup-compatibility/2006">
      <mc:Choice xmlns:a14="http://schemas.microsoft.com/office/drawing/2010/main" Requires="a14">
        <xdr:graphicFrame macro="">
          <xdr:nvGraphicFramePr>
            <xdr:cNvPr id="9" name="Outlet Location Type 1">
              <a:extLst>
                <a:ext uri="{FF2B5EF4-FFF2-40B4-BE49-F238E27FC236}">
                  <a16:creationId xmlns:a16="http://schemas.microsoft.com/office/drawing/2014/main" id="{1EFCFCDB-32CE-47CB-95C4-71232307F3F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916881" y="1104545"/>
              <a:ext cx="1661869" cy="1198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31987</xdr:colOff>
      <xdr:row>7</xdr:row>
      <xdr:rowOff>42088</xdr:rowOff>
    </xdr:from>
    <xdr:to>
      <xdr:col>10</xdr:col>
      <xdr:colOff>428227</xdr:colOff>
      <xdr:row>9</xdr:row>
      <xdr:rowOff>87808</xdr:rowOff>
    </xdr:to>
    <xdr:sp macro="" textlink="'Design Sheet'!$E$8">
      <xdr:nvSpPr>
        <xdr:cNvPr id="10" name="TextBox 9">
          <a:extLst>
            <a:ext uri="{FF2B5EF4-FFF2-40B4-BE49-F238E27FC236}">
              <a16:creationId xmlns:a16="http://schemas.microsoft.com/office/drawing/2014/main" id="{069A0263-0762-4919-8881-7F5D33F48CD0}"/>
            </a:ext>
          </a:extLst>
        </xdr:cNvPr>
        <xdr:cNvSpPr txBox="1"/>
      </xdr:nvSpPr>
      <xdr:spPr>
        <a:xfrm>
          <a:off x="6092545" y="1406600"/>
          <a:ext cx="1069635" cy="435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B9632C-88B0-4B69-B49C-F2605104E9EC}" type="TxLink">
            <a:rPr lang="en-US" sz="2000" b="0" i="0" u="none" strike="noStrike">
              <a:ln>
                <a:noFill/>
              </a:ln>
              <a:solidFill>
                <a:srgbClr val="002060"/>
              </a:solidFill>
              <a:effectLst/>
              <a:latin typeface="Segoe UI Black" panose="020B0A02040204020203" pitchFamily="34" charset="0"/>
              <a:ea typeface="Segoe UI Black" panose="020B0A02040204020203" pitchFamily="34" charset="0"/>
              <a:cs typeface="Calibri"/>
            </a:rPr>
            <a:pPr marL="0" indent="0" algn="ctr"/>
            <a:t>4.0</a:t>
          </a:fld>
          <a:endParaRPr lang="en-IN" sz="2000" b="0" i="0" u="none" strike="noStrike">
            <a:ln>
              <a:noFill/>
            </a:ln>
            <a:solidFill>
              <a:srgbClr val="002060"/>
            </a:solidFill>
            <a:effectLst/>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78681</xdr:colOff>
      <xdr:row>7</xdr:row>
      <xdr:rowOff>42088</xdr:rowOff>
    </xdr:from>
    <xdr:to>
      <xdr:col>6</xdr:col>
      <xdr:colOff>477757</xdr:colOff>
      <xdr:row>9</xdr:row>
      <xdr:rowOff>87808</xdr:rowOff>
    </xdr:to>
    <xdr:sp macro="" textlink="'Design Sheet'!$D$8">
      <xdr:nvSpPr>
        <xdr:cNvPr id="11" name="TextBox 10">
          <a:extLst>
            <a:ext uri="{FF2B5EF4-FFF2-40B4-BE49-F238E27FC236}">
              <a16:creationId xmlns:a16="http://schemas.microsoft.com/office/drawing/2014/main" id="{C0C74E33-F375-42AC-9249-39F7C41157B9}"/>
            </a:ext>
          </a:extLst>
        </xdr:cNvPr>
        <xdr:cNvSpPr txBox="1"/>
      </xdr:nvSpPr>
      <xdr:spPr>
        <a:xfrm>
          <a:off x="3445658" y="1406600"/>
          <a:ext cx="1072471" cy="435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B5FF84-9DE1-4B7C-805D-81C1E9D13136}" type="TxLink">
            <a:rPr lang="en-US" sz="2000" b="0" i="0" u="none" strike="noStrike">
              <a:ln>
                <a:noFill/>
              </a:ln>
              <a:solidFill>
                <a:srgbClr val="002060"/>
              </a:solidFill>
              <a:effectLst/>
              <a:latin typeface="Segoe UI Black" panose="020B0A02040204020203" pitchFamily="34" charset="0"/>
              <a:ea typeface="Segoe UI Black" panose="020B0A02040204020203" pitchFamily="34" charset="0"/>
              <a:cs typeface="Calibri"/>
            </a:rPr>
            <a:pPr marL="0" indent="0" algn="ctr"/>
            <a:t>8523</a:t>
          </a:fld>
          <a:endParaRPr lang="en-IN" sz="2000" b="0" i="0" u="none" strike="noStrike">
            <a:ln>
              <a:noFill/>
            </a:ln>
            <a:solidFill>
              <a:srgbClr val="002060"/>
            </a:solidFill>
            <a:effectLst/>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23126</xdr:colOff>
      <xdr:row>1</xdr:row>
      <xdr:rowOff>116161</xdr:rowOff>
    </xdr:from>
    <xdr:to>
      <xdr:col>10</xdr:col>
      <xdr:colOff>419366</xdr:colOff>
      <xdr:row>3</xdr:row>
      <xdr:rowOff>161881</xdr:rowOff>
    </xdr:to>
    <xdr:sp macro="" textlink="'Design Sheet'!$C$8">
      <xdr:nvSpPr>
        <xdr:cNvPr id="12" name="TextBox 11">
          <a:extLst>
            <a:ext uri="{FF2B5EF4-FFF2-40B4-BE49-F238E27FC236}">
              <a16:creationId xmlns:a16="http://schemas.microsoft.com/office/drawing/2014/main" id="{6045B304-DBC4-4344-B3E8-75E346F9CB6C}"/>
            </a:ext>
          </a:extLst>
        </xdr:cNvPr>
        <xdr:cNvSpPr txBox="1"/>
      </xdr:nvSpPr>
      <xdr:spPr>
        <a:xfrm>
          <a:off x="6083684" y="311091"/>
          <a:ext cx="1069635" cy="435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BDED02-7C13-43AB-A86C-BA4944170189}" type="TxLink">
            <a:rPr lang="en-US" sz="2000" b="0" i="0" u="none" strike="noStrike">
              <a:ln>
                <a:noFill/>
              </a:ln>
              <a:solidFill>
                <a:srgbClr val="002060"/>
              </a:solidFill>
              <a:effectLst/>
              <a:latin typeface="Segoe UI Black" panose="020B0A02040204020203" pitchFamily="34" charset="0"/>
              <a:ea typeface="Segoe UI Black" panose="020B0A02040204020203" pitchFamily="34" charset="0"/>
              <a:cs typeface="Calibri"/>
            </a:rPr>
            <a:pPr marL="0" indent="0" algn="ctr"/>
            <a:t>$141</a:t>
          </a:fld>
          <a:endParaRPr lang="en-IN" sz="2000" b="0" i="0" u="none" strike="noStrike">
            <a:ln>
              <a:noFill/>
            </a:ln>
            <a:solidFill>
              <a:srgbClr val="002060"/>
            </a:solidFill>
            <a:effectLst/>
            <a:latin typeface="Segoe UI Black" panose="020B0A02040204020203" pitchFamily="34" charset="0"/>
            <a:ea typeface="Segoe UI Black" panose="020B0A02040204020203" pitchFamily="34" charset="0"/>
            <a:cs typeface="Calibri"/>
          </a:endParaRPr>
        </a:p>
      </xdr:txBody>
    </xdr:sp>
    <xdr:clientData/>
  </xdr:twoCellAnchor>
  <xdr:twoCellAnchor>
    <xdr:from>
      <xdr:col>4</xdr:col>
      <xdr:colOff>499376</xdr:colOff>
      <xdr:row>3</xdr:row>
      <xdr:rowOff>109958</xdr:rowOff>
    </xdr:from>
    <xdr:to>
      <xdr:col>7</xdr:col>
      <xdr:colOff>39341</xdr:colOff>
      <xdr:row>5</xdr:row>
      <xdr:rowOff>33758</xdr:rowOff>
    </xdr:to>
    <xdr:sp macro="" textlink="">
      <xdr:nvSpPr>
        <xdr:cNvPr id="13" name="TextBox 12">
          <a:extLst>
            <a:ext uri="{FF2B5EF4-FFF2-40B4-BE49-F238E27FC236}">
              <a16:creationId xmlns:a16="http://schemas.microsoft.com/office/drawing/2014/main" id="{099600B1-DD5F-AC34-1A07-63CE8A7B8F7C}"/>
            </a:ext>
          </a:extLst>
        </xdr:cNvPr>
        <xdr:cNvSpPr txBox="1"/>
      </xdr:nvSpPr>
      <xdr:spPr>
        <a:xfrm>
          <a:off x="3192957" y="694749"/>
          <a:ext cx="1560151" cy="313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Semibold" panose="020B0702040204020203" pitchFamily="34" charset="0"/>
              <a:cs typeface="Segoe UI Semibold" panose="020B0702040204020203" pitchFamily="34" charset="0"/>
            </a:rPr>
            <a:t>TOTAL SALES</a:t>
          </a:r>
        </a:p>
      </xdr:txBody>
    </xdr:sp>
    <xdr:clientData/>
  </xdr:twoCellAnchor>
  <xdr:twoCellAnchor editAs="oneCell">
    <xdr:from>
      <xdr:col>1</xdr:col>
      <xdr:colOff>251460</xdr:colOff>
      <xdr:row>11</xdr:row>
      <xdr:rowOff>185361</xdr:rowOff>
    </xdr:from>
    <xdr:to>
      <xdr:col>3</xdr:col>
      <xdr:colOff>540488</xdr:colOff>
      <xdr:row>18</xdr:row>
      <xdr:rowOff>17722</xdr:rowOff>
    </xdr:to>
    <mc:AlternateContent xmlns:mc="http://schemas.openxmlformats.org/markup-compatibility/2006">
      <mc:Choice xmlns:a14="http://schemas.microsoft.com/office/drawing/2010/main" Requires="a14">
        <xdr:graphicFrame macro="">
          <xdr:nvGraphicFramePr>
            <xdr:cNvPr id="14" name="Outlet Size 1">
              <a:extLst>
                <a:ext uri="{FF2B5EF4-FFF2-40B4-BE49-F238E27FC236}">
                  <a16:creationId xmlns:a16="http://schemas.microsoft.com/office/drawing/2014/main" id="{A3F481E9-F32C-44DE-A6A4-DDED4D237A3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922020" y="2364681"/>
              <a:ext cx="1630148" cy="1219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166946</xdr:colOff>
      <xdr:row>13</xdr:row>
      <xdr:rowOff>193617</xdr:rowOff>
    </xdr:from>
    <xdr:to>
      <xdr:col>7</xdr:col>
      <xdr:colOff>105316</xdr:colOff>
      <xdr:row>19</xdr:row>
      <xdr:rowOff>98367</xdr:rowOff>
    </xdr:to>
    <xdr:graphicFrame macro="">
      <xdr:nvGraphicFramePr>
        <xdr:cNvPr id="15" name="Chart 14">
          <a:extLst>
            <a:ext uri="{FF2B5EF4-FFF2-40B4-BE49-F238E27FC236}">
              <a16:creationId xmlns:a16="http://schemas.microsoft.com/office/drawing/2014/main" id="{AAD38E6C-C4EE-4E54-A02F-D334D17D5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158809</xdr:colOff>
      <xdr:row>12</xdr:row>
      <xdr:rowOff>78729</xdr:rowOff>
    </xdr:from>
    <xdr:to>
      <xdr:col>6</xdr:col>
      <xdr:colOff>303589</xdr:colOff>
      <xdr:row>13</xdr:row>
      <xdr:rowOff>163588</xdr:rowOff>
    </xdr:to>
    <xdr:sp macro="" textlink="">
      <xdr:nvSpPr>
        <xdr:cNvPr id="22" name="TextBox 21">
          <a:extLst>
            <a:ext uri="{FF2B5EF4-FFF2-40B4-BE49-F238E27FC236}">
              <a16:creationId xmlns:a16="http://schemas.microsoft.com/office/drawing/2014/main" id="{9AE518E0-58C2-DF95-358A-BBC4C3CC9A6A}"/>
            </a:ext>
          </a:extLst>
        </xdr:cNvPr>
        <xdr:cNvSpPr txBox="1"/>
      </xdr:nvSpPr>
      <xdr:spPr>
        <a:xfrm>
          <a:off x="2850128" y="2413367"/>
          <a:ext cx="1490440" cy="279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FAT CONTENT</a:t>
          </a:r>
        </a:p>
      </xdr:txBody>
    </xdr:sp>
    <xdr:clientData/>
  </xdr:twoCellAnchor>
  <xdr:twoCellAnchor>
    <xdr:from>
      <xdr:col>4</xdr:col>
      <xdr:colOff>170421</xdr:colOff>
      <xdr:row>21</xdr:row>
      <xdr:rowOff>34638</xdr:rowOff>
    </xdr:from>
    <xdr:to>
      <xdr:col>7</xdr:col>
      <xdr:colOff>101841</xdr:colOff>
      <xdr:row>27</xdr:row>
      <xdr:rowOff>166376</xdr:rowOff>
    </xdr:to>
    <xdr:graphicFrame macro="">
      <xdr:nvGraphicFramePr>
        <xdr:cNvPr id="23" name="Chart 22">
          <a:extLst>
            <a:ext uri="{FF2B5EF4-FFF2-40B4-BE49-F238E27FC236}">
              <a16:creationId xmlns:a16="http://schemas.microsoft.com/office/drawing/2014/main" id="{CFF50DB1-BEE0-4AE9-AE3D-9EAA52AB2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486833</xdr:colOff>
      <xdr:row>13</xdr:row>
      <xdr:rowOff>163284</xdr:rowOff>
    </xdr:from>
    <xdr:to>
      <xdr:col>11</xdr:col>
      <xdr:colOff>452244</xdr:colOff>
      <xdr:row>27</xdr:row>
      <xdr:rowOff>185357</xdr:rowOff>
    </xdr:to>
    <xdr:graphicFrame macro="">
      <xdr:nvGraphicFramePr>
        <xdr:cNvPr id="24" name="Chart 23">
          <a:extLst>
            <a:ext uri="{FF2B5EF4-FFF2-40B4-BE49-F238E27FC236}">
              <a16:creationId xmlns:a16="http://schemas.microsoft.com/office/drawing/2014/main" id="{8203D994-487F-4A17-84E9-067345B68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398721</xdr:colOff>
      <xdr:row>13</xdr:row>
      <xdr:rowOff>39485</xdr:rowOff>
    </xdr:from>
    <xdr:to>
      <xdr:col>15</xdr:col>
      <xdr:colOff>500320</xdr:colOff>
      <xdr:row>19</xdr:row>
      <xdr:rowOff>155810</xdr:rowOff>
    </xdr:to>
    <xdr:graphicFrame macro="">
      <xdr:nvGraphicFramePr>
        <xdr:cNvPr id="26" name="Chart 25">
          <a:extLst>
            <a:ext uri="{FF2B5EF4-FFF2-40B4-BE49-F238E27FC236}">
              <a16:creationId xmlns:a16="http://schemas.microsoft.com/office/drawing/2014/main" id="{D386B518-E72B-4219-A628-CA15557EC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68521</xdr:colOff>
      <xdr:row>13</xdr:row>
      <xdr:rowOff>28962</xdr:rowOff>
    </xdr:from>
    <xdr:to>
      <xdr:col>19</xdr:col>
      <xdr:colOff>358189</xdr:colOff>
      <xdr:row>19</xdr:row>
      <xdr:rowOff>160527</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94258B5C-7980-408E-B062-30A2291EA8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842847" y="2563055"/>
              <a:ext cx="2309854" cy="130114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451263</xdr:colOff>
      <xdr:row>3</xdr:row>
      <xdr:rowOff>109958</xdr:rowOff>
    </xdr:from>
    <xdr:to>
      <xdr:col>10</xdr:col>
      <xdr:colOff>664623</xdr:colOff>
      <xdr:row>5</xdr:row>
      <xdr:rowOff>33758</xdr:rowOff>
    </xdr:to>
    <xdr:sp macro="" textlink="">
      <xdr:nvSpPr>
        <xdr:cNvPr id="29" name="TextBox 28">
          <a:extLst>
            <a:ext uri="{FF2B5EF4-FFF2-40B4-BE49-F238E27FC236}">
              <a16:creationId xmlns:a16="http://schemas.microsoft.com/office/drawing/2014/main" id="{925C0322-6B5F-4ECE-B96F-3FB385C587D9}"/>
            </a:ext>
          </a:extLst>
        </xdr:cNvPr>
        <xdr:cNvSpPr txBox="1"/>
      </xdr:nvSpPr>
      <xdr:spPr>
        <a:xfrm>
          <a:off x="5838426" y="694749"/>
          <a:ext cx="1560150" cy="313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Semibold" panose="020B0702040204020203" pitchFamily="34" charset="0"/>
              <a:cs typeface="Segoe UI Semibold" panose="020B0702040204020203" pitchFamily="34" charset="0"/>
            </a:rPr>
            <a:t>AVG SALES</a:t>
          </a:r>
        </a:p>
      </xdr:txBody>
    </xdr:sp>
    <xdr:clientData/>
  </xdr:twoCellAnchor>
  <xdr:twoCellAnchor>
    <xdr:from>
      <xdr:col>4</xdr:col>
      <xdr:colOff>499376</xdr:colOff>
      <xdr:row>8</xdr:row>
      <xdr:rowOff>190234</xdr:rowOff>
    </xdr:from>
    <xdr:to>
      <xdr:col>7</xdr:col>
      <xdr:colOff>39341</xdr:colOff>
      <xdr:row>10</xdr:row>
      <xdr:rowOff>114035</xdr:rowOff>
    </xdr:to>
    <xdr:sp macro="" textlink="">
      <xdr:nvSpPr>
        <xdr:cNvPr id="30" name="TextBox 29">
          <a:extLst>
            <a:ext uri="{FF2B5EF4-FFF2-40B4-BE49-F238E27FC236}">
              <a16:creationId xmlns:a16="http://schemas.microsoft.com/office/drawing/2014/main" id="{F48BC84E-7634-4D34-8A6F-10D51A1A4C79}"/>
            </a:ext>
          </a:extLst>
        </xdr:cNvPr>
        <xdr:cNvSpPr txBox="1"/>
      </xdr:nvSpPr>
      <xdr:spPr>
        <a:xfrm>
          <a:off x="3192957" y="1749676"/>
          <a:ext cx="1560151" cy="313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Semibold" panose="020B0702040204020203" pitchFamily="34" charset="0"/>
              <a:cs typeface="Segoe UI Semibold" panose="020B0702040204020203" pitchFamily="34" charset="0"/>
            </a:rPr>
            <a:t>NO</a:t>
          </a:r>
          <a:r>
            <a:rPr lang="en-IN" sz="1400" baseline="0">
              <a:latin typeface="Segoe UI Semibold" panose="020B0702040204020203" pitchFamily="34" charset="0"/>
              <a:cs typeface="Segoe UI Semibold" panose="020B0702040204020203" pitchFamily="34" charset="0"/>
            </a:rPr>
            <a:t> OF ITEMS</a:t>
          </a:r>
        </a:p>
      </xdr:txBody>
    </xdr:sp>
    <xdr:clientData/>
  </xdr:twoCellAnchor>
  <xdr:twoCellAnchor>
    <xdr:from>
      <xdr:col>8</xdr:col>
      <xdr:colOff>451263</xdr:colOff>
      <xdr:row>8</xdr:row>
      <xdr:rowOff>190234</xdr:rowOff>
    </xdr:from>
    <xdr:to>
      <xdr:col>10</xdr:col>
      <xdr:colOff>664623</xdr:colOff>
      <xdr:row>10</xdr:row>
      <xdr:rowOff>114035</xdr:rowOff>
    </xdr:to>
    <xdr:sp macro="" textlink="">
      <xdr:nvSpPr>
        <xdr:cNvPr id="31" name="TextBox 30">
          <a:extLst>
            <a:ext uri="{FF2B5EF4-FFF2-40B4-BE49-F238E27FC236}">
              <a16:creationId xmlns:a16="http://schemas.microsoft.com/office/drawing/2014/main" id="{A4D547CD-72B1-4C34-A19D-78E947B3A720}"/>
            </a:ext>
          </a:extLst>
        </xdr:cNvPr>
        <xdr:cNvSpPr txBox="1"/>
      </xdr:nvSpPr>
      <xdr:spPr>
        <a:xfrm>
          <a:off x="5838426" y="1749676"/>
          <a:ext cx="1560150" cy="313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Semibold" panose="020B0702040204020203" pitchFamily="34" charset="0"/>
              <a:cs typeface="Segoe UI Semibold" panose="020B0702040204020203" pitchFamily="34" charset="0"/>
            </a:rPr>
            <a:t>AVG</a:t>
          </a:r>
          <a:r>
            <a:rPr lang="en-IN" sz="1400" baseline="0">
              <a:latin typeface="Segoe UI Semibold" panose="020B0702040204020203" pitchFamily="34" charset="0"/>
              <a:cs typeface="Segoe UI Semibold" panose="020B0702040204020203" pitchFamily="34" charset="0"/>
            </a:rPr>
            <a:t> RATING</a:t>
          </a:r>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4</xdr:col>
      <xdr:colOff>40105</xdr:colOff>
      <xdr:row>12</xdr:row>
      <xdr:rowOff>53473</xdr:rowOff>
    </xdr:from>
    <xdr:to>
      <xdr:col>11</xdr:col>
      <xdr:colOff>658091</xdr:colOff>
      <xdr:row>28</xdr:row>
      <xdr:rowOff>80210</xdr:rowOff>
    </xdr:to>
    <xdr:sp macro="" textlink="">
      <xdr:nvSpPr>
        <xdr:cNvPr id="32" name="Rectangle: Rounded Corners 31">
          <a:extLst>
            <a:ext uri="{FF2B5EF4-FFF2-40B4-BE49-F238E27FC236}">
              <a16:creationId xmlns:a16="http://schemas.microsoft.com/office/drawing/2014/main" id="{A09972C6-3F65-0018-A77C-A266580602B0}"/>
            </a:ext>
          </a:extLst>
        </xdr:cNvPr>
        <xdr:cNvSpPr/>
      </xdr:nvSpPr>
      <xdr:spPr>
        <a:xfrm>
          <a:off x="2733686" y="2392636"/>
          <a:ext cx="5331754" cy="3145621"/>
        </a:xfrm>
        <a:prstGeom prst="roundRect">
          <a:avLst>
            <a:gd name="adj" fmla="val 507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158809</xdr:colOff>
      <xdr:row>19</xdr:row>
      <xdr:rowOff>143740</xdr:rowOff>
    </xdr:from>
    <xdr:to>
      <xdr:col>6</xdr:col>
      <xdr:colOff>303589</xdr:colOff>
      <xdr:row>21</xdr:row>
      <xdr:rowOff>29440</xdr:rowOff>
    </xdr:to>
    <xdr:sp macro="" textlink="">
      <xdr:nvSpPr>
        <xdr:cNvPr id="33" name="TextBox 32">
          <a:extLst>
            <a:ext uri="{FF2B5EF4-FFF2-40B4-BE49-F238E27FC236}">
              <a16:creationId xmlns:a16="http://schemas.microsoft.com/office/drawing/2014/main" id="{1FFF9163-DBE2-4A99-A365-5E92445F2446}"/>
            </a:ext>
          </a:extLst>
        </xdr:cNvPr>
        <xdr:cNvSpPr txBox="1"/>
      </xdr:nvSpPr>
      <xdr:spPr>
        <a:xfrm>
          <a:off x="2852390" y="3847414"/>
          <a:ext cx="1491571" cy="2755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FAT BY</a:t>
          </a:r>
          <a:r>
            <a:rPr lang="en-IN" sz="1100" baseline="0">
              <a:latin typeface="Segoe UI Black" panose="020B0A02040204020203" pitchFamily="34" charset="0"/>
              <a:ea typeface="Segoe UI Black" panose="020B0A02040204020203" pitchFamily="34" charset="0"/>
            </a:rPr>
            <a:t> OUTLET</a:t>
          </a:r>
        </a:p>
      </xdr:txBody>
    </xdr:sp>
    <xdr:clientData/>
  </xdr:twoCellAnchor>
  <xdr:twoCellAnchor>
    <xdr:from>
      <xdr:col>7</xdr:col>
      <xdr:colOff>470203</xdr:colOff>
      <xdr:row>12</xdr:row>
      <xdr:rowOff>78729</xdr:rowOff>
    </xdr:from>
    <xdr:to>
      <xdr:col>9</xdr:col>
      <xdr:colOff>614983</xdr:colOff>
      <xdr:row>13</xdr:row>
      <xdr:rowOff>163588</xdr:rowOff>
    </xdr:to>
    <xdr:sp macro="" textlink="">
      <xdr:nvSpPr>
        <xdr:cNvPr id="34" name="TextBox 33">
          <a:extLst>
            <a:ext uri="{FF2B5EF4-FFF2-40B4-BE49-F238E27FC236}">
              <a16:creationId xmlns:a16="http://schemas.microsoft.com/office/drawing/2014/main" id="{7B5F07E1-614D-46B2-9593-D32EA603C355}"/>
            </a:ext>
          </a:extLst>
        </xdr:cNvPr>
        <xdr:cNvSpPr txBox="1"/>
      </xdr:nvSpPr>
      <xdr:spPr>
        <a:xfrm>
          <a:off x="5180012" y="2413367"/>
          <a:ext cx="1490439" cy="279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ITEM</a:t>
          </a:r>
          <a:r>
            <a:rPr lang="en-IN" sz="1100" baseline="0">
              <a:latin typeface="Segoe UI Black" panose="020B0A02040204020203" pitchFamily="34" charset="0"/>
              <a:ea typeface="Segoe UI Black" panose="020B0A02040204020203" pitchFamily="34" charset="0"/>
            </a:rPr>
            <a:t> TYPE</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12</xdr:col>
      <xdr:colOff>199292</xdr:colOff>
      <xdr:row>1</xdr:row>
      <xdr:rowOff>11723</xdr:rowOff>
    </xdr:from>
    <xdr:to>
      <xdr:col>19</xdr:col>
      <xdr:colOff>633046</xdr:colOff>
      <xdr:row>28</xdr:row>
      <xdr:rowOff>58615</xdr:rowOff>
    </xdr:to>
    <xdr:sp macro="" textlink="">
      <xdr:nvSpPr>
        <xdr:cNvPr id="35" name="Rectangle: Rounded Corners 34">
          <a:extLst>
            <a:ext uri="{FF2B5EF4-FFF2-40B4-BE49-F238E27FC236}">
              <a16:creationId xmlns:a16="http://schemas.microsoft.com/office/drawing/2014/main" id="{4203D9CD-F9F2-DA0D-6D6B-49F33F72B6A6}"/>
            </a:ext>
          </a:extLst>
        </xdr:cNvPr>
        <xdr:cNvSpPr/>
      </xdr:nvSpPr>
      <xdr:spPr>
        <a:xfrm>
          <a:off x="8280036" y="206653"/>
          <a:ext cx="5147522" cy="5310009"/>
        </a:xfrm>
        <a:prstGeom prst="roundRect">
          <a:avLst>
            <a:gd name="adj" fmla="val 4834"/>
          </a:avLst>
        </a:prstGeom>
        <a:no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478778</xdr:colOff>
      <xdr:row>1</xdr:row>
      <xdr:rowOff>80920</xdr:rowOff>
    </xdr:from>
    <xdr:to>
      <xdr:col>16</xdr:col>
      <xdr:colOff>499008</xdr:colOff>
      <xdr:row>2</xdr:row>
      <xdr:rowOff>165780</xdr:rowOff>
    </xdr:to>
    <xdr:sp macro="" textlink="">
      <xdr:nvSpPr>
        <xdr:cNvPr id="36" name="TextBox 35">
          <a:extLst>
            <a:ext uri="{FF2B5EF4-FFF2-40B4-BE49-F238E27FC236}">
              <a16:creationId xmlns:a16="http://schemas.microsoft.com/office/drawing/2014/main" id="{F9F68F51-3842-42A6-8BD5-76BAB43F4050}"/>
            </a:ext>
          </a:extLst>
        </xdr:cNvPr>
        <xdr:cNvSpPr txBox="1"/>
      </xdr:nvSpPr>
      <xdr:spPr>
        <a:xfrm>
          <a:off x="8489893" y="276478"/>
          <a:ext cx="2690602" cy="2804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OUTLET</a:t>
          </a:r>
          <a:r>
            <a:rPr lang="en-IN" sz="1100" baseline="0">
              <a:latin typeface="Segoe UI Black" panose="020B0A02040204020203" pitchFamily="34" charset="0"/>
              <a:ea typeface="Segoe UI Black" panose="020B0A02040204020203" pitchFamily="34" charset="0"/>
            </a:rPr>
            <a:t> ESTABLISHMENT</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12</xdr:col>
      <xdr:colOff>416075</xdr:colOff>
      <xdr:row>20</xdr:row>
      <xdr:rowOff>45898</xdr:rowOff>
    </xdr:from>
    <xdr:to>
      <xdr:col>14</xdr:col>
      <xdr:colOff>566092</xdr:colOff>
      <xdr:row>21</xdr:row>
      <xdr:rowOff>62023</xdr:rowOff>
    </xdr:to>
    <xdr:sp macro="" textlink="">
      <xdr:nvSpPr>
        <xdr:cNvPr id="37" name="TextBox 36">
          <a:extLst>
            <a:ext uri="{FF2B5EF4-FFF2-40B4-BE49-F238E27FC236}">
              <a16:creationId xmlns:a16="http://schemas.microsoft.com/office/drawing/2014/main" id="{08FF1593-C45C-4F4C-87E0-F297339A794E}"/>
            </a:ext>
          </a:extLst>
        </xdr:cNvPr>
        <xdr:cNvSpPr txBox="1"/>
      </xdr:nvSpPr>
      <xdr:spPr>
        <a:xfrm>
          <a:off x="8496819" y="3944503"/>
          <a:ext cx="1496808" cy="2110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Black" panose="020B0A02040204020203" pitchFamily="34" charset="0"/>
              <a:ea typeface="Segoe UI Black" panose="020B0A02040204020203" pitchFamily="34" charset="0"/>
            </a:rPr>
            <a:t>OUTLET TYPE</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15</xdr:col>
      <xdr:colOff>644255</xdr:colOff>
      <xdr:row>11</xdr:row>
      <xdr:rowOff>108175</xdr:rowOff>
    </xdr:from>
    <xdr:to>
      <xdr:col>19</xdr:col>
      <xdr:colOff>260912</xdr:colOff>
      <xdr:row>12</xdr:row>
      <xdr:rowOff>192031</xdr:rowOff>
    </xdr:to>
    <xdr:sp macro="" textlink="">
      <xdr:nvSpPr>
        <xdr:cNvPr id="38" name="TextBox 37">
          <a:extLst>
            <a:ext uri="{FF2B5EF4-FFF2-40B4-BE49-F238E27FC236}">
              <a16:creationId xmlns:a16="http://schemas.microsoft.com/office/drawing/2014/main" id="{99132F76-43C6-4397-80A3-983F00FE8A5C}"/>
            </a:ext>
          </a:extLst>
        </xdr:cNvPr>
        <xdr:cNvSpPr txBox="1"/>
      </xdr:nvSpPr>
      <xdr:spPr>
        <a:xfrm>
          <a:off x="10745185" y="2252408"/>
          <a:ext cx="2310239" cy="278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Black" panose="020B0A02040204020203" pitchFamily="34" charset="0"/>
              <a:ea typeface="Segoe UI Black" panose="020B0A02040204020203" pitchFamily="34" charset="0"/>
            </a:rPr>
            <a:t>OUTLET LOCATION</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12</xdr:col>
      <xdr:colOff>454734</xdr:colOff>
      <xdr:row>11</xdr:row>
      <xdr:rowOff>125109</xdr:rowOff>
    </xdr:from>
    <xdr:to>
      <xdr:col>14</xdr:col>
      <xdr:colOff>599514</xdr:colOff>
      <xdr:row>13</xdr:row>
      <xdr:rowOff>14035</xdr:rowOff>
    </xdr:to>
    <xdr:sp macro="" textlink="">
      <xdr:nvSpPr>
        <xdr:cNvPr id="39" name="TextBox 38">
          <a:extLst>
            <a:ext uri="{FF2B5EF4-FFF2-40B4-BE49-F238E27FC236}">
              <a16:creationId xmlns:a16="http://schemas.microsoft.com/office/drawing/2014/main" id="{AD2D2D41-85BC-4221-A21C-7974D77FB373}"/>
            </a:ext>
          </a:extLst>
        </xdr:cNvPr>
        <xdr:cNvSpPr txBox="1"/>
      </xdr:nvSpPr>
      <xdr:spPr>
        <a:xfrm>
          <a:off x="8535478" y="2269342"/>
          <a:ext cx="1491571" cy="278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OUTLET</a:t>
          </a:r>
          <a:r>
            <a:rPr lang="en-IN" sz="1100" baseline="0">
              <a:latin typeface="Segoe UI Black" panose="020B0A02040204020203" pitchFamily="34" charset="0"/>
              <a:ea typeface="Segoe UI Black" panose="020B0A02040204020203" pitchFamily="34" charset="0"/>
            </a:rPr>
            <a:t> SIZE</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12</xdr:col>
      <xdr:colOff>363280</xdr:colOff>
      <xdr:row>3</xdr:row>
      <xdr:rowOff>11545</xdr:rowOff>
    </xdr:from>
    <xdr:to>
      <xdr:col>19</xdr:col>
      <xdr:colOff>323274</xdr:colOff>
      <xdr:row>10</xdr:row>
      <xdr:rowOff>159489</xdr:rowOff>
    </xdr:to>
    <xdr:graphicFrame macro="">
      <xdr:nvGraphicFramePr>
        <xdr:cNvPr id="45" name="Chart 44">
          <a:extLst>
            <a:ext uri="{FF2B5EF4-FFF2-40B4-BE49-F238E27FC236}">
              <a16:creationId xmlns:a16="http://schemas.microsoft.com/office/drawing/2014/main" id="{DC31D556-6250-4B23-A034-1B5CC8190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276890</xdr:colOff>
      <xdr:row>21</xdr:row>
      <xdr:rowOff>101981</xdr:rowOff>
    </xdr:from>
    <xdr:to>
      <xdr:col>15</xdr:col>
      <xdr:colOff>610975</xdr:colOff>
      <xdr:row>27</xdr:row>
      <xdr:rowOff>68115</xdr:rowOff>
    </xdr:to>
    <xdr:graphicFrame macro="">
      <xdr:nvGraphicFramePr>
        <xdr:cNvPr id="46" name="Chart 45">
          <a:extLst>
            <a:ext uri="{FF2B5EF4-FFF2-40B4-BE49-F238E27FC236}">
              <a16:creationId xmlns:a16="http://schemas.microsoft.com/office/drawing/2014/main" id="{5CEB3A7B-E3CD-4355-98C2-1F4502501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605288</xdr:colOff>
      <xdr:row>21</xdr:row>
      <xdr:rowOff>104531</xdr:rowOff>
    </xdr:from>
    <xdr:to>
      <xdr:col>18</xdr:col>
      <xdr:colOff>48004</xdr:colOff>
      <xdr:row>27</xdr:row>
      <xdr:rowOff>65566</xdr:rowOff>
    </xdr:to>
    <xdr:graphicFrame macro="">
      <xdr:nvGraphicFramePr>
        <xdr:cNvPr id="47" name="Chart 46">
          <a:extLst>
            <a:ext uri="{FF2B5EF4-FFF2-40B4-BE49-F238E27FC236}">
              <a16:creationId xmlns:a16="http://schemas.microsoft.com/office/drawing/2014/main" id="{49025CB9-1CD8-4BBB-BDB4-3A767AFF2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673194</xdr:colOff>
      <xdr:row>21</xdr:row>
      <xdr:rowOff>88095</xdr:rowOff>
    </xdr:from>
    <xdr:to>
      <xdr:col>19</xdr:col>
      <xdr:colOff>432753</xdr:colOff>
      <xdr:row>27</xdr:row>
      <xdr:rowOff>56907</xdr:rowOff>
    </xdr:to>
    <xdr:graphicFrame macro="">
      <xdr:nvGraphicFramePr>
        <xdr:cNvPr id="48" name="Chart 47">
          <a:extLst>
            <a:ext uri="{FF2B5EF4-FFF2-40B4-BE49-F238E27FC236}">
              <a16:creationId xmlns:a16="http://schemas.microsoft.com/office/drawing/2014/main" id="{BA82AFAB-3BEC-48BA-B2B8-99453528E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336696</xdr:colOff>
      <xdr:row>26</xdr:row>
      <xdr:rowOff>186070</xdr:rowOff>
    </xdr:from>
    <xdr:to>
      <xdr:col>15</xdr:col>
      <xdr:colOff>79744</xdr:colOff>
      <xdr:row>28</xdr:row>
      <xdr:rowOff>26580</xdr:rowOff>
    </xdr:to>
    <xdr:sp macro="" textlink="">
      <xdr:nvSpPr>
        <xdr:cNvPr id="49" name="TextBox 48">
          <a:extLst>
            <a:ext uri="{FF2B5EF4-FFF2-40B4-BE49-F238E27FC236}">
              <a16:creationId xmlns:a16="http://schemas.microsoft.com/office/drawing/2014/main" id="{8DA296E7-E10C-A19F-B50F-6A96037A041D}"/>
            </a:ext>
          </a:extLst>
        </xdr:cNvPr>
        <xdr:cNvSpPr txBox="1"/>
      </xdr:nvSpPr>
      <xdr:spPr>
        <a:xfrm>
          <a:off x="9090836" y="5254256"/>
          <a:ext cx="1089838" cy="2303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17</xdr:col>
      <xdr:colOff>648585</xdr:colOff>
      <xdr:row>27</xdr:row>
      <xdr:rowOff>1772</xdr:rowOff>
    </xdr:from>
    <xdr:to>
      <xdr:col>19</xdr:col>
      <xdr:colOff>391632</xdr:colOff>
      <xdr:row>28</xdr:row>
      <xdr:rowOff>37212</xdr:rowOff>
    </xdr:to>
    <xdr:sp macro="" textlink="">
      <xdr:nvSpPr>
        <xdr:cNvPr id="51" name="TextBox 50">
          <a:extLst>
            <a:ext uri="{FF2B5EF4-FFF2-40B4-BE49-F238E27FC236}">
              <a16:creationId xmlns:a16="http://schemas.microsoft.com/office/drawing/2014/main" id="{7C4977B5-E9CC-40E2-BFF5-BACEA7E4AEA4}"/>
            </a:ext>
          </a:extLst>
        </xdr:cNvPr>
        <xdr:cNvSpPr txBox="1"/>
      </xdr:nvSpPr>
      <xdr:spPr>
        <a:xfrm>
          <a:off x="12096306" y="5264888"/>
          <a:ext cx="1089838" cy="2303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solidFill>
              <a:latin typeface="Segoe UI Semibold" panose="020B0702040204020203" pitchFamily="34" charset="0"/>
              <a:cs typeface="Segoe UI Semibold" panose="020B0702040204020203" pitchFamily="34" charset="0"/>
            </a:rPr>
            <a:t>AVG</a:t>
          </a:r>
          <a:r>
            <a:rPr lang="en-IN" sz="1100" baseline="0">
              <a:solidFill>
                <a:schemeClr val="accent1"/>
              </a:solidFill>
              <a:latin typeface="Segoe UI Semibold" panose="020B0702040204020203" pitchFamily="34" charset="0"/>
              <a:cs typeface="Segoe UI Semibold" panose="020B0702040204020203" pitchFamily="34" charset="0"/>
            </a:rPr>
            <a:t> RATING</a:t>
          </a:r>
          <a:endParaRPr lang="en-IN" sz="1100">
            <a:solidFill>
              <a:schemeClr val="accent1"/>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579474</xdr:colOff>
      <xdr:row>26</xdr:row>
      <xdr:rowOff>189613</xdr:rowOff>
    </xdr:from>
    <xdr:to>
      <xdr:col>17</xdr:col>
      <xdr:colOff>322521</xdr:colOff>
      <xdr:row>28</xdr:row>
      <xdr:rowOff>30123</xdr:rowOff>
    </xdr:to>
    <xdr:sp macro="" textlink="">
      <xdr:nvSpPr>
        <xdr:cNvPr id="52" name="TextBox 51">
          <a:extLst>
            <a:ext uri="{FF2B5EF4-FFF2-40B4-BE49-F238E27FC236}">
              <a16:creationId xmlns:a16="http://schemas.microsoft.com/office/drawing/2014/main" id="{9553E3AE-94E6-41C4-A852-929B40CA99BC}"/>
            </a:ext>
          </a:extLst>
        </xdr:cNvPr>
        <xdr:cNvSpPr txBox="1"/>
      </xdr:nvSpPr>
      <xdr:spPr>
        <a:xfrm>
          <a:off x="10680404" y="5257799"/>
          <a:ext cx="1089838" cy="2303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solidFill>
              <a:latin typeface="Segoe UI Semibold" panose="020B0702040204020203" pitchFamily="34" charset="0"/>
              <a:cs typeface="Segoe UI Semibold" panose="020B0702040204020203" pitchFamily="34" charset="0"/>
            </a:rPr>
            <a:t>AVG SALES</a:t>
          </a:r>
        </a:p>
      </xdr:txBody>
    </xdr:sp>
    <xdr:clientData/>
  </xdr:twoCellAnchor>
  <xdr:twoCellAnchor>
    <xdr:from>
      <xdr:col>1</xdr:col>
      <xdr:colOff>354418</xdr:colOff>
      <xdr:row>3</xdr:row>
      <xdr:rowOff>186069</xdr:rowOff>
    </xdr:from>
    <xdr:to>
      <xdr:col>3</xdr:col>
      <xdr:colOff>478464</xdr:colOff>
      <xdr:row>6</xdr:row>
      <xdr:rowOff>35442</xdr:rowOff>
    </xdr:to>
    <xdr:sp macro="" textlink="">
      <xdr:nvSpPr>
        <xdr:cNvPr id="53" name="TextBox 52">
          <a:extLst>
            <a:ext uri="{FF2B5EF4-FFF2-40B4-BE49-F238E27FC236}">
              <a16:creationId xmlns:a16="http://schemas.microsoft.com/office/drawing/2014/main" id="{78052AAD-BF9E-4656-9C30-05DF1F0F8C05}"/>
            </a:ext>
          </a:extLst>
        </xdr:cNvPr>
        <xdr:cNvSpPr txBox="1"/>
      </xdr:nvSpPr>
      <xdr:spPr>
        <a:xfrm>
          <a:off x="1027813" y="770860"/>
          <a:ext cx="1470837" cy="434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rPr>
            <a:t>FILTER</a:t>
          </a:r>
          <a:r>
            <a:rPr lang="en-IN" sz="1400"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rPr>
            <a:t> PANEL</a:t>
          </a:r>
          <a:endParaRPr lang="en-IN" sz="140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xdr:col>
      <xdr:colOff>279991</xdr:colOff>
      <xdr:row>18</xdr:row>
      <xdr:rowOff>79745</xdr:rowOff>
    </xdr:from>
    <xdr:to>
      <xdr:col>3</xdr:col>
      <xdr:colOff>522767</xdr:colOff>
      <xdr:row>27</xdr:row>
      <xdr:rowOff>177211</xdr:rowOff>
    </xdr:to>
    <mc:AlternateContent xmlns:mc="http://schemas.openxmlformats.org/markup-compatibility/2006">
      <mc:Choice xmlns:a14="http://schemas.microsoft.com/office/drawing/2010/main" Requires="a14">
        <xdr:graphicFrame macro="">
          <xdr:nvGraphicFramePr>
            <xdr:cNvPr id="54" name="Item Type 1">
              <a:extLst>
                <a:ext uri="{FF2B5EF4-FFF2-40B4-BE49-F238E27FC236}">
                  <a16:creationId xmlns:a16="http://schemas.microsoft.com/office/drawing/2014/main" id="{5D8D7947-084F-4D55-A9D6-324C3CEE086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950551" y="3645905"/>
              <a:ext cx="1583896" cy="1880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327127</xdr:colOff>
      <xdr:row>1</xdr:row>
      <xdr:rowOff>8861</xdr:rowOff>
    </xdr:from>
    <xdr:to>
      <xdr:col>3</xdr:col>
      <xdr:colOff>451173</xdr:colOff>
      <xdr:row>3</xdr:row>
      <xdr:rowOff>17721</xdr:rowOff>
    </xdr:to>
    <xdr:sp macro="" textlink="">
      <xdr:nvSpPr>
        <xdr:cNvPr id="55" name="TextBox 54">
          <a:extLst>
            <a:ext uri="{FF2B5EF4-FFF2-40B4-BE49-F238E27FC236}">
              <a16:creationId xmlns:a16="http://schemas.microsoft.com/office/drawing/2014/main" id="{D96D5A9E-F1C6-453C-AEA7-6ACDE02360AB}"/>
            </a:ext>
          </a:extLst>
        </xdr:cNvPr>
        <xdr:cNvSpPr txBox="1"/>
      </xdr:nvSpPr>
      <xdr:spPr>
        <a:xfrm>
          <a:off x="1000522" y="203791"/>
          <a:ext cx="1470837" cy="398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solidFill>
                <a:sysClr val="windowText" lastClr="000000"/>
              </a:solidFill>
              <a:latin typeface="Segoe UI Black" panose="020B0A02040204020203" pitchFamily="34" charset="0"/>
              <a:ea typeface="Segoe UI Black" panose="020B0A02040204020203" pitchFamily="34" charset="0"/>
              <a:cs typeface="Segoe UI Semibold" panose="020B0702040204020203" pitchFamily="34" charset="0"/>
            </a:rPr>
            <a:t>Blink</a:t>
          </a:r>
          <a:r>
            <a:rPr lang="en-IN" sz="2800">
              <a:solidFill>
                <a:schemeClr val="accent6">
                  <a:lumMod val="50000"/>
                </a:schemeClr>
              </a:solidFill>
              <a:latin typeface="Segoe UI Black" panose="020B0A02040204020203" pitchFamily="34" charset="0"/>
              <a:ea typeface="Segoe UI Black" panose="020B0A02040204020203" pitchFamily="34" charset="0"/>
              <a:cs typeface="Segoe UI Semibold" panose="020B0702040204020203" pitchFamily="34" charset="0"/>
            </a:rPr>
            <a:t>IT</a:t>
          </a:r>
        </a:p>
      </xdr:txBody>
    </xdr:sp>
    <xdr:clientData/>
  </xdr:twoCellAnchor>
  <xdr:twoCellAnchor>
    <xdr:from>
      <xdr:col>1</xdr:col>
      <xdr:colOff>302319</xdr:colOff>
      <xdr:row>2</xdr:row>
      <xdr:rowOff>170121</xdr:rowOff>
    </xdr:from>
    <xdr:to>
      <xdr:col>3</xdr:col>
      <xdr:colOff>513908</xdr:colOff>
      <xdr:row>4</xdr:row>
      <xdr:rowOff>17721</xdr:rowOff>
    </xdr:to>
    <xdr:sp macro="" textlink="">
      <xdr:nvSpPr>
        <xdr:cNvPr id="56" name="TextBox 55">
          <a:extLst>
            <a:ext uri="{FF2B5EF4-FFF2-40B4-BE49-F238E27FC236}">
              <a16:creationId xmlns:a16="http://schemas.microsoft.com/office/drawing/2014/main" id="{7F87BA27-7999-4F2C-B3EC-0AA5EB1CCAB8}"/>
            </a:ext>
          </a:extLst>
        </xdr:cNvPr>
        <xdr:cNvSpPr txBox="1"/>
      </xdr:nvSpPr>
      <xdr:spPr>
        <a:xfrm>
          <a:off x="975714" y="559981"/>
          <a:ext cx="1558380" cy="237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solidFill>
                <a:sysClr val="windowText" lastClr="000000"/>
              </a:solidFill>
              <a:latin typeface="Segoe UI Black" panose="020B0A02040204020203" pitchFamily="34" charset="0"/>
              <a:ea typeface="Segoe UI Black" panose="020B0A02040204020203" pitchFamily="34" charset="0"/>
              <a:cs typeface="Segoe UI Semibold" panose="020B0702040204020203" pitchFamily="34" charset="0"/>
            </a:rPr>
            <a:t>India's</a:t>
          </a:r>
          <a:r>
            <a:rPr lang="en-IN" sz="900" baseline="0">
              <a:solidFill>
                <a:sysClr val="windowText" lastClr="000000"/>
              </a:solidFill>
              <a:latin typeface="Segoe UI Black" panose="020B0A02040204020203" pitchFamily="34" charset="0"/>
              <a:ea typeface="Segoe UI Black" panose="020B0A02040204020203" pitchFamily="34" charset="0"/>
              <a:cs typeface="Segoe UI Semibold" panose="020B0702040204020203" pitchFamily="34" charset="0"/>
            </a:rPr>
            <a:t> Last Minute App</a:t>
          </a:r>
          <a:endParaRPr lang="en-IN" sz="900">
            <a:solidFill>
              <a:sysClr val="windowText" lastClr="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am" refreshedDate="46210.725489467593" createdVersion="8" refreshedVersion="8" minRefreshableVersion="3" recordCount="8523" xr:uid="{276E75C5-9337-4709-A8E6-225C84A892AD}">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07126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E8A36F-B705-4FA6-B09A-27329ECE6700}"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116:C121"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dataField="1" showAll="0"/>
  </pivotFields>
  <rowFields count="1">
    <field x="7"/>
  </rowFields>
  <rowItems count="5">
    <i>
      <x/>
    </i>
    <i>
      <x v="1"/>
    </i>
    <i>
      <x v="2"/>
    </i>
    <i>
      <x v="3"/>
    </i>
    <i t="grand">
      <x/>
    </i>
  </rowItems>
  <colItems count="1">
    <i/>
  </colItems>
  <dataFields count="1">
    <dataField name="Average of Rating" fld="11" subtotal="average" baseField="7" baseItem="0" numFmtId="2"/>
  </dataFields>
  <formats count="8">
    <format dxfId="635">
      <pivotArea type="all" dataOnly="0" outline="0" fieldPosition="0"/>
    </format>
    <format dxfId="627">
      <pivotArea outline="0" fieldPosition="0">
        <references count="1">
          <reference field="4294967294" count="1">
            <x v="0"/>
          </reference>
        </references>
      </pivotArea>
    </format>
    <format dxfId="38">
      <pivotArea type="all" dataOnly="0" outline="0" fieldPosition="0"/>
    </format>
    <format dxfId="31">
      <pivotArea outline="0" collapsedLevelsAreSubtotals="1" fieldPosition="0"/>
    </format>
    <format dxfId="30">
      <pivotArea field="7" type="button" dataOnly="0" labelOnly="1" outline="0" axis="axisRow" fieldPosition="0"/>
    </format>
    <format dxfId="29">
      <pivotArea dataOnly="0" labelOnly="1" fieldPosition="0">
        <references count="1">
          <reference field="7" count="0"/>
        </references>
      </pivotArea>
    </format>
    <format dxfId="28">
      <pivotArea dataOnly="0" labelOnly="1" grandRow="1" outline="0" fieldPosition="0"/>
    </format>
    <format dxfId="27">
      <pivotArea dataOnly="0" labelOnly="1" outline="0" axis="axisValues" fieldPosition="0"/>
    </format>
  </format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A04BEC-D5D9-4242-ACD2-DE8A9EAACE01}"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106:C111"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Average of Sales" fld="10" subtotal="average" baseField="7" baseItem="3" numFmtId="170"/>
  </dataFields>
  <formats count="8">
    <format dxfId="636">
      <pivotArea type="all" dataOnly="0" outline="0" fieldPosition="0"/>
    </format>
    <format dxfId="626">
      <pivotArea outline="0" fieldPosition="0">
        <references count="1">
          <reference field="4294967294" count="1">
            <x v="0"/>
          </reference>
        </references>
      </pivotArea>
    </format>
    <format dxfId="25">
      <pivotArea type="all" dataOnly="0" outline="0" fieldPosition="0"/>
    </format>
    <format dxfId="18">
      <pivotArea outline="0" collapsedLevelsAreSubtotals="1" fieldPosition="0"/>
    </format>
    <format dxfId="17">
      <pivotArea field="7" type="button" dataOnly="0" labelOnly="1" outline="0" axis="axisRow" fieldPosition="0"/>
    </format>
    <format dxfId="16">
      <pivotArea dataOnly="0" labelOnly="1" fieldPosition="0">
        <references count="1">
          <reference field="7" count="0"/>
        </references>
      </pivotArea>
    </format>
    <format dxfId="15">
      <pivotArea dataOnly="0" labelOnly="1" grandRow="1" outline="0" fieldPosition="0"/>
    </format>
    <format dxfId="14">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D90B91-FAC8-4303-A78F-1F8FA053ED50}"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95:C100"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0" baseField="0" baseItem="0" numFmtId="167"/>
  </dataFields>
  <formats count="8">
    <format dxfId="637">
      <pivotArea type="all" dataOnly="0" outline="0" fieldPosition="0"/>
    </format>
    <format dxfId="628">
      <pivotArea outline="0" fieldPosition="0">
        <references count="1">
          <reference field="4294967294" count="1">
            <x v="0"/>
          </reference>
        </references>
      </pivotArea>
    </format>
    <format dxfId="12">
      <pivotArea type="all" dataOnly="0" outline="0" fieldPosition="0"/>
    </format>
    <format dxfId="5">
      <pivotArea outline="0" collapsedLevelsAreSubtotals="1" fieldPosition="0"/>
    </format>
    <format dxfId="4">
      <pivotArea field="7" type="button" dataOnly="0" labelOnly="1" outline="0" axis="axisRow" fieldPosition="0"/>
    </format>
    <format dxfId="3">
      <pivotArea dataOnly="0" labelOnly="1" fieldPosition="0">
        <references count="1">
          <reference field="7" count="0"/>
        </references>
      </pivotArea>
    </format>
    <format dxfId="2">
      <pivotArea dataOnly="0" labelOnly="1" grandRow="1" outline="0" fieldPosition="0"/>
    </format>
    <format dxfId="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F4A890-3C2D-4CE7-BE9C-87D813A59741}"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81:C85"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4">
    <i>
      <x v="2"/>
    </i>
    <i>
      <x v="1"/>
    </i>
    <i>
      <x/>
    </i>
    <i t="grand">
      <x/>
    </i>
  </rowItems>
  <colItems count="1">
    <i/>
  </colItems>
  <dataFields count="1">
    <dataField name="Sum of Sales" fld="10" baseField="0" baseItem="0" numFmtId="167"/>
  </dataFields>
  <formats count="7">
    <format dxfId="655">
      <pivotArea type="all" dataOnly="0" outline="0" fieldPosition="0"/>
    </format>
    <format dxfId="654">
      <pivotArea outline="0" collapsedLevelsAreSubtotals="1" fieldPosition="0"/>
    </format>
    <format dxfId="653">
      <pivotArea field="5" type="button" dataOnly="0" labelOnly="1" outline="0" axis="axisRow" fieldPosition="0"/>
    </format>
    <format dxfId="652">
      <pivotArea dataOnly="0" labelOnly="1" fieldPosition="0">
        <references count="1">
          <reference field="5" count="0"/>
        </references>
      </pivotArea>
    </format>
    <format dxfId="651">
      <pivotArea dataOnly="0" labelOnly="1" grandRow="1" outline="0" fieldPosition="0"/>
    </format>
    <format dxfId="650">
      <pivotArea dataOnly="0" labelOnly="1" outline="0" axis="axisValues" fieldPosition="0"/>
    </format>
    <format dxfId="629">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5CDEC6-E22D-4CB6-92DF-6CF3AC120ED3}"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71:C75"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numFmtId="167"/>
  </dataFields>
  <formats count="7">
    <format dxfId="649">
      <pivotArea type="all" dataOnly="0" outline="0" fieldPosition="0"/>
    </format>
    <format dxfId="648">
      <pivotArea outline="0" collapsedLevelsAreSubtotals="1" fieldPosition="0"/>
    </format>
    <format dxfId="647">
      <pivotArea field="6" type="button" dataOnly="0" labelOnly="1" outline="0" axis="axisRow" fieldPosition="0"/>
    </format>
    <format dxfId="646">
      <pivotArea dataOnly="0" labelOnly="1" fieldPosition="0">
        <references count="1">
          <reference field="6" count="0"/>
        </references>
      </pivotArea>
    </format>
    <format dxfId="645">
      <pivotArea dataOnly="0" labelOnly="1" grandRow="1" outline="0" fieldPosition="0"/>
    </format>
    <format dxfId="644">
      <pivotArea dataOnly="0" labelOnly="1" outline="0" axis="axisValues" fieldPosition="0"/>
    </format>
    <format dxfId="630">
      <pivotArea outline="0" fieldPosition="0">
        <references count="1">
          <reference field="4294967294" count="1">
            <x v="0"/>
          </reference>
        </references>
      </pivotArea>
    </format>
  </format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6" count="1" selected="0">
            <x v="0"/>
          </reference>
        </references>
      </pivotArea>
    </chartFormat>
    <chartFormat chart="17" format="7">
      <pivotArea type="data" outline="0" fieldPosition="0">
        <references count="2">
          <reference field="4294967294" count="1" selected="0">
            <x v="0"/>
          </reference>
          <reference field="6" count="1" selected="0">
            <x v="1"/>
          </reference>
        </references>
      </pivotArea>
    </chartFormat>
    <chartFormat chart="17"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4CEF0D-54A6-49B9-BF9F-7EBD890956AA}"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B55:C65"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numFmtId="167"/>
  </dataFields>
  <formats count="7">
    <format dxfId="643">
      <pivotArea type="all" dataOnly="0" outline="0" fieldPosition="0"/>
    </format>
    <format dxfId="642">
      <pivotArea outline="0" collapsedLevelsAreSubtotals="1" fieldPosition="0"/>
    </format>
    <format dxfId="641">
      <pivotArea field="3" type="button" dataOnly="0" labelOnly="1" outline="0" axis="axisRow" fieldPosition="0"/>
    </format>
    <format dxfId="640">
      <pivotArea dataOnly="0" labelOnly="1" fieldPosition="0">
        <references count="1">
          <reference field="3" count="0"/>
        </references>
      </pivotArea>
    </format>
    <format dxfId="639">
      <pivotArea dataOnly="0" labelOnly="1" grandRow="1" outline="0" fieldPosition="0"/>
    </format>
    <format dxfId="638">
      <pivotArea dataOnly="0" labelOnly="1" outline="0" axis="axisValues" fieldPosition="0"/>
    </format>
    <format dxfId="631">
      <pivotArea outline="0" fieldPosition="0">
        <references count="1">
          <reference field="4294967294" count="1">
            <x v="0"/>
          </reference>
        </references>
      </pivotArea>
    </format>
  </formats>
  <chartFormats count="2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3" count="1" selected="0">
            <x v="0"/>
          </reference>
        </references>
      </pivotArea>
    </chartFormat>
    <chartFormat chart="16" format="2">
      <pivotArea type="data" outline="0" fieldPosition="0">
        <references count="2">
          <reference field="4294967294" count="1" selected="0">
            <x v="0"/>
          </reference>
          <reference field="3" count="1" selected="0">
            <x v="1"/>
          </reference>
        </references>
      </pivotArea>
    </chartFormat>
    <chartFormat chart="16" format="3">
      <pivotArea type="data" outline="0" fieldPosition="0">
        <references count="2">
          <reference field="4294967294" count="1" selected="0">
            <x v="0"/>
          </reference>
          <reference field="3" count="1" selected="0">
            <x v="2"/>
          </reference>
        </references>
      </pivotArea>
    </chartFormat>
    <chartFormat chart="16" format="4">
      <pivotArea type="data" outline="0" fieldPosition="0">
        <references count="2">
          <reference field="4294967294" count="1" selected="0">
            <x v="0"/>
          </reference>
          <reference field="3" count="1" selected="0">
            <x v="3"/>
          </reference>
        </references>
      </pivotArea>
    </chartFormat>
    <chartFormat chart="16" format="5">
      <pivotArea type="data" outline="0" fieldPosition="0">
        <references count="2">
          <reference field="4294967294" count="1" selected="0">
            <x v="0"/>
          </reference>
          <reference field="3" count="1" selected="0">
            <x v="4"/>
          </reference>
        </references>
      </pivotArea>
    </chartFormat>
    <chartFormat chart="16" format="6">
      <pivotArea type="data" outline="0" fieldPosition="0">
        <references count="2">
          <reference field="4294967294" count="1" selected="0">
            <x v="0"/>
          </reference>
          <reference field="3" count="1" selected="0">
            <x v="5"/>
          </reference>
        </references>
      </pivotArea>
    </chartFormat>
    <chartFormat chart="16" format="7">
      <pivotArea type="data" outline="0" fieldPosition="0">
        <references count="2">
          <reference field="4294967294" count="1" selected="0">
            <x v="0"/>
          </reference>
          <reference field="3" count="1" selected="0">
            <x v="6"/>
          </reference>
        </references>
      </pivotArea>
    </chartFormat>
    <chartFormat chart="16" format="8">
      <pivotArea type="data" outline="0" fieldPosition="0">
        <references count="2">
          <reference field="4294967294" count="1" selected="0">
            <x v="0"/>
          </reference>
          <reference field="3" count="1" selected="0">
            <x v="7"/>
          </reference>
        </references>
      </pivotArea>
    </chartFormat>
    <chartFormat chart="16" format="9">
      <pivotArea type="data" outline="0" fieldPosition="0">
        <references count="2">
          <reference field="4294967294" count="1" selected="0">
            <x v="0"/>
          </reference>
          <reference field="3" count="1" selected="0">
            <x v="8"/>
          </reference>
        </references>
      </pivotArea>
    </chartFormat>
    <chartFormat chart="42" format="20" series="1">
      <pivotArea type="data" outline="0" fieldPosition="0">
        <references count="1">
          <reference field="4294967294" count="1" selected="0">
            <x v="0"/>
          </reference>
        </references>
      </pivotArea>
    </chartFormat>
    <chartFormat chart="42" format="21">
      <pivotArea type="data" outline="0" fieldPosition="0">
        <references count="2">
          <reference field="4294967294" count="1" selected="0">
            <x v="0"/>
          </reference>
          <reference field="3" count="1" selected="0">
            <x v="0"/>
          </reference>
        </references>
      </pivotArea>
    </chartFormat>
    <chartFormat chart="42" format="22">
      <pivotArea type="data" outline="0" fieldPosition="0">
        <references count="2">
          <reference field="4294967294" count="1" selected="0">
            <x v="0"/>
          </reference>
          <reference field="3" count="1" selected="0">
            <x v="1"/>
          </reference>
        </references>
      </pivotArea>
    </chartFormat>
    <chartFormat chart="42" format="23">
      <pivotArea type="data" outline="0" fieldPosition="0">
        <references count="2">
          <reference field="4294967294" count="1" selected="0">
            <x v="0"/>
          </reference>
          <reference field="3" count="1" selected="0">
            <x v="2"/>
          </reference>
        </references>
      </pivotArea>
    </chartFormat>
    <chartFormat chart="42" format="24">
      <pivotArea type="data" outline="0" fieldPosition="0">
        <references count="2">
          <reference field="4294967294" count="1" selected="0">
            <x v="0"/>
          </reference>
          <reference field="3" count="1" selected="0">
            <x v="3"/>
          </reference>
        </references>
      </pivotArea>
    </chartFormat>
    <chartFormat chart="42" format="25">
      <pivotArea type="data" outline="0" fieldPosition="0">
        <references count="2">
          <reference field="4294967294" count="1" selected="0">
            <x v="0"/>
          </reference>
          <reference field="3" count="1" selected="0">
            <x v="4"/>
          </reference>
        </references>
      </pivotArea>
    </chartFormat>
    <chartFormat chart="42" format="26">
      <pivotArea type="data" outline="0" fieldPosition="0">
        <references count="2">
          <reference field="4294967294" count="1" selected="0">
            <x v="0"/>
          </reference>
          <reference field="3" count="1" selected="0">
            <x v="5"/>
          </reference>
        </references>
      </pivotArea>
    </chartFormat>
    <chartFormat chart="42" format="27">
      <pivotArea type="data" outline="0" fieldPosition="0">
        <references count="2">
          <reference field="4294967294" count="1" selected="0">
            <x v="0"/>
          </reference>
          <reference field="3" count="1" selected="0">
            <x v="6"/>
          </reference>
        </references>
      </pivotArea>
    </chartFormat>
    <chartFormat chart="42" format="28">
      <pivotArea type="data" outline="0" fieldPosition="0">
        <references count="2">
          <reference field="4294967294" count="1" selected="0">
            <x v="0"/>
          </reference>
          <reference field="3" count="1" selected="0">
            <x v="7"/>
          </reference>
        </references>
      </pivotArea>
    </chartFormat>
    <chartFormat chart="42" format="29">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91497C-8490-4636-B0B4-3D945E75A775}"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33:C50"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numFmtId="167"/>
  </dataFields>
  <formats count="12">
    <format dxfId="664">
      <pivotArea type="all" dataOnly="0" outline="0" fieldPosition="0"/>
    </format>
    <format dxfId="665">
      <pivotArea outline="0" collapsedLevelsAreSubtotals="1" fieldPosition="0"/>
    </format>
    <format dxfId="666">
      <pivotArea field="0" type="button" dataOnly="0" labelOnly="1" outline="0"/>
    </format>
    <format dxfId="667">
      <pivotArea dataOnly="0" labelOnly="1" grandRow="1" outline="0" fieldPosition="0"/>
    </format>
    <format dxfId="668">
      <pivotArea dataOnly="0" labelOnly="1" outline="0" axis="axisValues" fieldPosition="0"/>
    </format>
    <format dxfId="663">
      <pivotArea type="all" dataOnly="0" outline="0" fieldPosition="0"/>
    </format>
    <format dxfId="662">
      <pivotArea outline="0" collapsedLevelsAreSubtotals="1" fieldPosition="0"/>
    </format>
    <format dxfId="661">
      <pivotArea field="2" type="button" dataOnly="0" labelOnly="1" outline="0" axis="axisRow" fieldPosition="0"/>
    </format>
    <format dxfId="660">
      <pivotArea dataOnly="0" labelOnly="1" fieldPosition="0">
        <references count="1">
          <reference field="2" count="0"/>
        </references>
      </pivotArea>
    </format>
    <format dxfId="659">
      <pivotArea dataOnly="0" labelOnly="1" grandRow="1" outline="0" fieldPosition="0"/>
    </format>
    <format dxfId="658">
      <pivotArea dataOnly="0" labelOnly="1" outline="0" axis="axisValues" fieldPosition="0"/>
    </format>
    <format dxfId="632">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B0E1D6-A1BC-4F75-9D3F-95D2E75A6100}"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3:E28"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4">
    <i>
      <x/>
    </i>
    <i>
      <x v="1"/>
    </i>
    <i>
      <x v="2"/>
    </i>
    <i t="grand">
      <x/>
    </i>
  </rowItems>
  <colFields count="1">
    <field x="0"/>
  </colFields>
  <colItems count="3">
    <i>
      <x/>
    </i>
    <i>
      <x v="1"/>
    </i>
    <i t="grand">
      <x/>
    </i>
  </colItems>
  <dataFields count="1">
    <dataField name="Sum of Sales" fld="10" baseField="0" baseItem="0" numFmtId="167"/>
  </dataFields>
  <formats count="17">
    <format dxfId="679">
      <pivotArea type="all" dataOnly="0" outline="0" fieldPosition="0"/>
    </format>
    <format dxfId="680">
      <pivotArea outline="0" collapsedLevelsAreSubtotals="1" fieldPosition="0"/>
    </format>
    <format dxfId="681">
      <pivotArea field="0" type="button" dataOnly="0" labelOnly="1" outline="0" axis="axisCol" fieldPosition="0"/>
    </format>
    <format dxfId="682">
      <pivotArea dataOnly="0" labelOnly="1" fieldPosition="0">
        <references count="1">
          <reference field="0" count="0"/>
        </references>
      </pivotArea>
    </format>
    <format dxfId="683">
      <pivotArea dataOnly="0" labelOnly="1" grandRow="1" outline="0" fieldPosition="0"/>
    </format>
    <format dxfId="684">
      <pivotArea dataOnly="0" labelOnly="1" outline="0" axis="axisValues" fieldPosition="0"/>
    </format>
    <format dxfId="678">
      <pivotArea type="all" dataOnly="0" outline="0" fieldPosition="0"/>
    </format>
    <format dxfId="677">
      <pivotArea outline="0" collapsedLevelsAreSubtotals="1" fieldPosition="0"/>
    </format>
    <format dxfId="676">
      <pivotArea type="origin" dataOnly="0" labelOnly="1" outline="0" fieldPosition="0"/>
    </format>
    <format dxfId="675">
      <pivotArea field="0" type="button" dataOnly="0" labelOnly="1" outline="0" axis="axisCol" fieldPosition="0"/>
    </format>
    <format dxfId="674">
      <pivotArea type="topRight" dataOnly="0" labelOnly="1" outline="0" fieldPosition="0"/>
    </format>
    <format dxfId="673">
      <pivotArea field="5" type="button" dataOnly="0" labelOnly="1" outline="0" axis="axisRow" fieldPosition="0"/>
    </format>
    <format dxfId="672">
      <pivotArea dataOnly="0" labelOnly="1" fieldPosition="0">
        <references count="1">
          <reference field="5" count="0"/>
        </references>
      </pivotArea>
    </format>
    <format dxfId="671">
      <pivotArea dataOnly="0" labelOnly="1" grandRow="1" outline="0" fieldPosition="0"/>
    </format>
    <format dxfId="670">
      <pivotArea dataOnly="0" labelOnly="1" fieldPosition="0">
        <references count="1">
          <reference field="0" count="0"/>
        </references>
      </pivotArea>
    </format>
    <format dxfId="669">
      <pivotArea dataOnly="0" labelOnly="1" grandCol="1" outline="0" fieldPosition="0"/>
    </format>
    <format dxfId="633">
      <pivotArea outline="0" fieldPosition="0">
        <references count="1">
          <reference field="4294967294" count="1">
            <x v="0"/>
          </reference>
        </references>
      </pivotArea>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14" format="0" series="1">
      <pivotArea type="data" outline="0" fieldPosition="0">
        <references count="2">
          <reference field="4294967294" count="1" selected="0">
            <x v="0"/>
          </reference>
          <reference field="0" count="1" selected="0">
            <x v="1"/>
          </reference>
        </references>
      </pivotArea>
    </chartFormat>
    <chartFormat chart="14" format="1" series="1">
      <pivotArea type="data" outline="0" fieldPosition="0">
        <references count="2">
          <reference field="4294967294" count="1" selected="0">
            <x v="0"/>
          </reference>
          <reference field="0" count="1" selected="0">
            <x v="0"/>
          </reference>
        </references>
      </pivotArea>
    </chartFormat>
    <chartFormat chart="17" format="4" series="1">
      <pivotArea type="data" outline="0" fieldPosition="0">
        <references count="2">
          <reference field="4294967294" count="1" selected="0">
            <x v="0"/>
          </reference>
          <reference field="0" count="1" selected="0">
            <x v="0"/>
          </reference>
        </references>
      </pivotArea>
    </chartFormat>
    <chartFormat chart="17" format="5" series="1">
      <pivotArea type="data" outline="0" fieldPosition="0">
        <references count="2">
          <reference field="4294967294" count="1" selected="0">
            <x v="0"/>
          </reference>
          <reference field="0" count="1" selected="0">
            <x v="1"/>
          </reference>
        </references>
      </pivotArea>
    </chartFormat>
    <chartFormat chart="17" format="6">
      <pivotArea type="data" outline="0" fieldPosition="0">
        <references count="3">
          <reference field="4294967294" count="1" selected="0">
            <x v="0"/>
          </reference>
          <reference field="0" count="1" selected="0">
            <x v="1"/>
          </reference>
          <reference field="5" count="1" selected="0">
            <x v="2"/>
          </reference>
        </references>
      </pivotArea>
    </chartFormat>
    <chartFormat chart="17" format="7">
      <pivotArea type="data" outline="0" fieldPosition="0">
        <references count="3">
          <reference field="4294967294" count="1" selected="0">
            <x v="0"/>
          </reference>
          <reference field="0" count="1" selected="0">
            <x v="1"/>
          </reference>
          <reference field="5" count="1" selected="0">
            <x v="1"/>
          </reference>
        </references>
      </pivotArea>
    </chartFormat>
    <chartFormat chart="17" format="8">
      <pivotArea type="data" outline="0" fieldPosition="0">
        <references count="3">
          <reference field="4294967294" count="1" selected="0">
            <x v="0"/>
          </reference>
          <reference field="0" count="1" selected="0">
            <x v="1"/>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9D07FC-A41A-4DCC-B49F-4EE78AF693F9}"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3:C16"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formats count="7">
    <format dxfId="690">
      <pivotArea type="all" dataOnly="0" outline="0" fieldPosition="0"/>
    </format>
    <format dxfId="689">
      <pivotArea outline="0" collapsedLevelsAreSubtotals="1" fieldPosition="0"/>
    </format>
    <format dxfId="688">
      <pivotArea field="0" type="button" dataOnly="0" labelOnly="1" outline="0" axis="axisRow" fieldPosition="0"/>
    </format>
    <format dxfId="687">
      <pivotArea dataOnly="0" labelOnly="1" fieldPosition="0">
        <references count="1">
          <reference field="0" count="0"/>
        </references>
      </pivotArea>
    </format>
    <format dxfId="686">
      <pivotArea dataOnly="0" labelOnly="1" grandRow="1" outline="0" fieldPosition="0"/>
    </format>
    <format dxfId="685">
      <pivotArea dataOnly="0" labelOnly="1" outline="0" axis="axisValues" fieldPosition="0"/>
    </format>
    <format dxfId="634">
      <pivotArea collapsedLevelsAreSubtotals="1" fieldPosition="0">
        <references count="1">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CA22C8-7EA0-4D35-B89E-91E89F96B4BC}"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5" firstHeaderRow="0"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0" baseField="0" baseItem="1"/>
    <dataField name="Average of Total Sales" fld="10" subtotal="average" baseField="0" baseItem="1"/>
    <dataField name="Total No of Items" fld="10" subtotal="count" baseField="0" baseItem="1"/>
    <dataField name="Average of Rating" fld="11" subtotal="average" baseField="0" baseItem="2"/>
  </dataFields>
  <formats count="11">
    <format dxfId="696">
      <pivotArea outline="0" collapsedLevelsAreSubtotals="1" fieldPosition="0"/>
    </format>
    <format dxfId="695">
      <pivotArea outline="0" collapsedLevelsAreSubtotals="1" fieldPosition="0"/>
    </format>
    <format dxfId="694">
      <pivotArea type="all" dataOnly="0" outline="0" fieldPosition="0"/>
    </format>
    <format dxfId="693">
      <pivotArea dataOnly="0" labelOnly="1" outline="0" fieldPosition="0">
        <references count="1">
          <reference field="4294967294" count="4">
            <x v="0"/>
            <x v="1"/>
            <x v="2"/>
            <x v="3"/>
          </reference>
        </references>
      </pivotArea>
    </format>
    <format dxfId="692">
      <pivotArea type="all" dataOnly="0" outline="0" fieldPosition="0"/>
    </format>
    <format dxfId="691">
      <pivotArea dataOnly="0" labelOnly="1" outline="0" fieldPosition="0">
        <references count="1">
          <reference field="4294967294" count="4">
            <x v="0"/>
            <x v="1"/>
            <x v="2"/>
            <x v="3"/>
          </reference>
        </references>
      </pivotArea>
    </format>
    <format dxfId="657">
      <pivotArea dataOnly="0" labelOnly="1" outline="0" fieldPosition="0">
        <references count="1">
          <reference field="4294967294" count="4">
            <x v="0"/>
            <x v="1"/>
            <x v="2"/>
            <x v="3"/>
          </reference>
        </references>
      </pivotArea>
    </format>
    <format dxfId="656">
      <pivotArea dataOnly="0" labelOnly="1" outline="0" fieldPosition="0">
        <references count="1">
          <reference field="4294967294" count="4">
            <x v="0"/>
            <x v="1"/>
            <x v="2"/>
            <x v="3"/>
          </reference>
        </references>
      </pivotArea>
    </format>
    <format dxfId="65">
      <pivotArea type="all" dataOnly="0" outline="0" fieldPosition="0"/>
    </format>
    <format dxfId="61">
      <pivotArea outline="0" collapsedLevelsAreSubtotals="1" fieldPosition="0"/>
    </format>
    <format dxfId="6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9DAE16F-F0DE-465B-B8D2-7042A39C573D}" sourceName="Outlet Location Type">
  <pivotTables>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8"/>
    <pivotTable tabId="2" name="PivotTable9"/>
  </pivotTables>
  <data>
    <tabular pivotCacheId="110712610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0F6D891-6075-45FE-BD0F-A99CC16026DF}" sourceName="Outlet Size">
  <pivotTables>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8"/>
    <pivotTable tabId="2" name="PivotTable9"/>
  </pivotTables>
  <data>
    <tabular pivotCacheId="110712610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DE36D86-CD03-4699-84EA-7DFAB663865F}" sourceName="Item Type">
  <pivotTables>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8"/>
    <pivotTable tabId="2" name="PivotTable9"/>
  </pivotTables>
  <data>
    <tabular pivotCacheId="110712610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C9887F73-0D6B-4346-9364-DF11E4799649}" cache="Slicer_Outlet_Location_Type" caption="Outlet Location Type" rowHeight="260350"/>
  <slicer name="Outlet Size" xr10:uid="{7E9B667E-3394-4695-BBE3-F2556B2ECFBD}" cache="Slicer_Outlet_Size" caption="Outlet Size" rowHeight="260350"/>
  <slicer name="Item Type" xr10:uid="{250D61DA-A5E2-4A64-8531-3868F302DACD}"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1" xr10:uid="{A5E45862-25F1-4E13-956A-E3F3BEBAA820}" cache="Slicer_Outlet_Location_Type" caption="Outlet Location " style="BlinkIT A nalysis" rowHeight="260350"/>
  <slicer name="Outlet Size 1" xr10:uid="{9EE0577E-DDC5-4602-B99E-904E25A72582}" cache="Slicer_Outlet_Size" caption="Outlet Size" style="BlinkIT A nalysis" rowHeight="260350"/>
  <slicer name="Item Type 1" xr10:uid="{2391D520-8B71-41ED-86BF-9E5A436C931A}" cache="Slicer_Item_Type" caption="Item Type" style="BlinkIT A 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election activeCell="D8" sqref="D8"/>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95F15-99D1-4CA9-8370-1B4BF0C61391}">
  <dimension ref="B2:L123"/>
  <sheetViews>
    <sheetView showGridLines="0" zoomScale="92" zoomScaleNormal="125" workbookViewId="0">
      <selection activeCell="I14" sqref="I14"/>
    </sheetView>
  </sheetViews>
  <sheetFormatPr defaultRowHeight="15.6" x14ac:dyDescent="0.3"/>
  <cols>
    <col min="2" max="2" width="17.296875" bestFit="1" customWidth="1"/>
    <col min="3" max="3" width="21.796875" customWidth="1"/>
    <col min="4" max="4" width="18.5" customWidth="1"/>
    <col min="5" max="5" width="17" customWidth="1"/>
  </cols>
  <sheetData>
    <row r="2" spans="2:5" ht="16.2" thickBot="1" x14ac:dyDescent="0.35">
      <c r="B2" s="19"/>
      <c r="C2" s="19"/>
      <c r="D2" s="19"/>
      <c r="E2" s="19"/>
    </row>
    <row r="3" spans="2:5" ht="24.6" x14ac:dyDescent="0.55000000000000004">
      <c r="B3" s="15" t="s">
        <v>1618</v>
      </c>
      <c r="C3" s="16"/>
      <c r="D3" s="16"/>
      <c r="E3" s="17"/>
    </row>
    <row r="4" spans="2:5" s="32" customFormat="1" x14ac:dyDescent="0.3">
      <c r="B4" s="50" t="s">
        <v>1612</v>
      </c>
      <c r="C4" s="48" t="s">
        <v>1611</v>
      </c>
      <c r="D4" s="48" t="s">
        <v>1610</v>
      </c>
      <c r="E4" s="51" t="s">
        <v>1613</v>
      </c>
    </row>
    <row r="5" spans="2:5" s="2" customFormat="1" x14ac:dyDescent="0.3">
      <c r="B5" s="52">
        <v>1201681.4928000034</v>
      </c>
      <c r="C5" s="49">
        <v>140.99278338613203</v>
      </c>
      <c r="D5" s="49">
        <v>8523</v>
      </c>
      <c r="E5" s="53">
        <v>3.9658570925731196</v>
      </c>
    </row>
    <row r="6" spans="2:5" x14ac:dyDescent="0.3">
      <c r="B6" s="5"/>
      <c r="C6" s="19"/>
      <c r="D6" s="19"/>
      <c r="E6" s="6"/>
    </row>
    <row r="7" spans="2:5" s="2" customFormat="1" x14ac:dyDescent="0.3">
      <c r="B7" s="7" t="s">
        <v>1614</v>
      </c>
      <c r="C7" s="47" t="s">
        <v>1615</v>
      </c>
      <c r="D7" s="47" t="s">
        <v>1617</v>
      </c>
      <c r="E7" s="8" t="s">
        <v>1616</v>
      </c>
    </row>
    <row r="8" spans="2:5" s="1" customFormat="1" ht="16.2" thickBot="1" x14ac:dyDescent="0.35">
      <c r="B8" s="54">
        <f>GETPIVOTDATA("Sum of Total Sales",$B$4)</f>
        <v>1201681.4928000034</v>
      </c>
      <c r="C8" s="55">
        <f>GETPIVOTDATA("Average of Total Sales",$B$4)</f>
        <v>140.99278338613203</v>
      </c>
      <c r="D8" s="56">
        <f>GETPIVOTDATA("Total No of Items",$B$4)</f>
        <v>8523</v>
      </c>
      <c r="E8" s="57">
        <f>GETPIVOTDATA("Average of Rating",$B$4)</f>
        <v>3.9658570925731196</v>
      </c>
    </row>
    <row r="9" spans="2:5" x14ac:dyDescent="0.3">
      <c r="B9" s="19"/>
      <c r="C9" s="19"/>
      <c r="D9" s="19"/>
      <c r="E9" s="19"/>
    </row>
    <row r="11" spans="2:5" ht="16.2" thickBot="1" x14ac:dyDescent="0.35"/>
    <row r="12" spans="2:5" ht="24.6" x14ac:dyDescent="0.55000000000000004">
      <c r="B12" s="15" t="s">
        <v>1622</v>
      </c>
      <c r="C12" s="16"/>
      <c r="D12" s="16"/>
      <c r="E12" s="17"/>
    </row>
    <row r="13" spans="2:5" ht="16.2" thickBot="1" x14ac:dyDescent="0.35">
      <c r="B13" s="22" t="s">
        <v>1619</v>
      </c>
      <c r="C13" s="24" t="s">
        <v>1621</v>
      </c>
      <c r="D13" s="19"/>
      <c r="E13" s="6"/>
    </row>
    <row r="14" spans="2:5" x14ac:dyDescent="0.3">
      <c r="B14" s="25" t="s">
        <v>17</v>
      </c>
      <c r="C14" s="44">
        <v>776319.68840000057</v>
      </c>
      <c r="D14" s="19"/>
      <c r="E14" s="6"/>
    </row>
    <row r="15" spans="2:5" ht="16.2" thickBot="1" x14ac:dyDescent="0.35">
      <c r="B15" s="23" t="s">
        <v>10</v>
      </c>
      <c r="C15" s="44">
        <v>425361.8043999995</v>
      </c>
      <c r="D15" s="19"/>
      <c r="E15" s="6"/>
    </row>
    <row r="16" spans="2:5" ht="16.2" thickBot="1" x14ac:dyDescent="0.35">
      <c r="B16" s="23" t="s">
        <v>1620</v>
      </c>
      <c r="C16" s="21">
        <v>1201681.4928000001</v>
      </c>
      <c r="D16" s="19"/>
      <c r="E16" s="6"/>
    </row>
    <row r="17" spans="2:9" x14ac:dyDescent="0.3">
      <c r="B17" s="5"/>
      <c r="C17" s="19"/>
      <c r="D17" s="19"/>
      <c r="E17" s="6"/>
    </row>
    <row r="18" spans="2:9" ht="16.2" thickBot="1" x14ac:dyDescent="0.35">
      <c r="B18" s="9"/>
      <c r="C18" s="10"/>
      <c r="D18" s="10"/>
      <c r="E18" s="11"/>
    </row>
    <row r="21" spans="2:9" ht="16.2" thickBot="1" x14ac:dyDescent="0.35"/>
    <row r="22" spans="2:9" ht="21" thickBot="1" x14ac:dyDescent="0.5">
      <c r="B22" s="26" t="s">
        <v>1624</v>
      </c>
      <c r="C22" s="16"/>
      <c r="D22" s="16"/>
      <c r="E22" s="17"/>
      <c r="F22" s="3"/>
      <c r="G22" s="3"/>
      <c r="H22" s="3"/>
      <c r="I22" s="4"/>
    </row>
    <row r="23" spans="2:9" ht="16.2" thickBot="1" x14ac:dyDescent="0.35">
      <c r="B23" s="27" t="s">
        <v>1621</v>
      </c>
      <c r="C23" s="27" t="s">
        <v>1623</v>
      </c>
      <c r="D23" s="13"/>
      <c r="E23" s="14"/>
      <c r="F23" s="19"/>
      <c r="G23" s="19"/>
      <c r="H23" s="19"/>
      <c r="I23" s="6"/>
    </row>
    <row r="24" spans="2:9" ht="16.2" thickBot="1" x14ac:dyDescent="0.35">
      <c r="B24" s="27" t="s">
        <v>1619</v>
      </c>
      <c r="C24" s="12" t="s">
        <v>10</v>
      </c>
      <c r="D24" s="14" t="s">
        <v>17</v>
      </c>
      <c r="E24" s="14" t="s">
        <v>1620</v>
      </c>
      <c r="F24" s="19"/>
      <c r="G24" s="19"/>
      <c r="H24" s="19"/>
      <c r="I24" s="6"/>
    </row>
    <row r="25" spans="2:9" x14ac:dyDescent="0.3">
      <c r="B25" s="28" t="s">
        <v>14</v>
      </c>
      <c r="C25" s="41">
        <v>121349.89940000001</v>
      </c>
      <c r="D25" s="42">
        <v>215047.9126000001</v>
      </c>
      <c r="E25" s="43">
        <v>336397.81200000009</v>
      </c>
      <c r="F25" s="19"/>
      <c r="G25" s="19"/>
      <c r="H25" s="19"/>
      <c r="I25" s="6"/>
    </row>
    <row r="26" spans="2:9" x14ac:dyDescent="0.3">
      <c r="B26" s="25" t="s">
        <v>34</v>
      </c>
      <c r="C26" s="39">
        <v>138685.86819999994</v>
      </c>
      <c r="D26" s="35">
        <v>254464.77940000014</v>
      </c>
      <c r="E26" s="36">
        <v>393150.64760000008</v>
      </c>
      <c r="F26" s="19"/>
      <c r="G26" s="19"/>
      <c r="H26" s="19"/>
      <c r="I26" s="6"/>
    </row>
    <row r="27" spans="2:9" ht="16.2" thickBot="1" x14ac:dyDescent="0.35">
      <c r="B27" s="23" t="s">
        <v>21</v>
      </c>
      <c r="C27" s="39">
        <v>165326.0368</v>
      </c>
      <c r="D27" s="35">
        <v>306806.99640000012</v>
      </c>
      <c r="E27" s="36">
        <v>472133.03320000012</v>
      </c>
      <c r="F27" s="19"/>
      <c r="G27" s="19"/>
      <c r="H27" s="19"/>
      <c r="I27" s="6"/>
    </row>
    <row r="28" spans="2:9" ht="16.2" thickBot="1" x14ac:dyDescent="0.35">
      <c r="B28" s="29" t="s">
        <v>1620</v>
      </c>
      <c r="C28" s="40">
        <v>425361.80439999996</v>
      </c>
      <c r="D28" s="37">
        <v>776319.68840000033</v>
      </c>
      <c r="E28" s="38">
        <v>1201681.4928000004</v>
      </c>
      <c r="F28" s="10"/>
      <c r="G28" s="10"/>
      <c r="H28" s="10"/>
      <c r="I28" s="11"/>
    </row>
    <row r="31" spans="2:9" ht="16.2" thickBot="1" x14ac:dyDescent="0.35"/>
    <row r="32" spans="2:9" ht="25.2" thickBot="1" x14ac:dyDescent="0.6">
      <c r="B32" s="15" t="s">
        <v>1625</v>
      </c>
      <c r="C32" s="31"/>
      <c r="D32" s="31"/>
      <c r="E32" s="31"/>
      <c r="F32" s="31"/>
      <c r="G32" s="31"/>
      <c r="H32" s="3"/>
      <c r="I32" s="4"/>
    </row>
    <row r="33" spans="2:9" ht="16.2" thickBot="1" x14ac:dyDescent="0.35">
      <c r="B33" s="27" t="s">
        <v>1619</v>
      </c>
      <c r="C33" s="30" t="s">
        <v>1621</v>
      </c>
      <c r="D33" s="19"/>
      <c r="E33" s="19"/>
      <c r="F33" s="19"/>
      <c r="G33" s="19"/>
      <c r="H33" s="19"/>
      <c r="I33" s="6"/>
    </row>
    <row r="34" spans="2:9" x14ac:dyDescent="0.3">
      <c r="B34" s="28" t="s">
        <v>153</v>
      </c>
      <c r="C34" s="46">
        <v>9077.869999999999</v>
      </c>
      <c r="D34" s="19"/>
      <c r="E34" s="19"/>
      <c r="F34" s="19"/>
      <c r="G34" s="19"/>
      <c r="H34" s="19"/>
      <c r="I34" s="6"/>
    </row>
    <row r="35" spans="2:9" x14ac:dyDescent="0.3">
      <c r="B35" s="25" t="s">
        <v>74</v>
      </c>
      <c r="C35" s="44">
        <v>15596.696600000001</v>
      </c>
      <c r="D35" s="19"/>
      <c r="E35" s="19"/>
      <c r="F35" s="19"/>
      <c r="G35" s="19"/>
      <c r="H35" s="19"/>
      <c r="I35" s="6"/>
    </row>
    <row r="36" spans="2:9" x14ac:dyDescent="0.3">
      <c r="B36" s="25" t="s">
        <v>159</v>
      </c>
      <c r="C36" s="44">
        <v>21880.027399999992</v>
      </c>
      <c r="D36" s="19"/>
      <c r="E36" s="19"/>
      <c r="F36" s="19"/>
      <c r="G36" s="19"/>
      <c r="H36" s="19"/>
      <c r="I36" s="6"/>
    </row>
    <row r="37" spans="2:9" x14ac:dyDescent="0.3">
      <c r="B37" s="25" t="s">
        <v>64</v>
      </c>
      <c r="C37" s="44">
        <v>22451.891599999999</v>
      </c>
      <c r="D37" s="19"/>
      <c r="E37" s="19"/>
      <c r="F37" s="19"/>
      <c r="G37" s="19"/>
      <c r="H37" s="19"/>
      <c r="I37" s="6"/>
    </row>
    <row r="38" spans="2:9" x14ac:dyDescent="0.3">
      <c r="B38" s="25" t="s">
        <v>61</v>
      </c>
      <c r="C38" s="44">
        <v>29334.680599999996</v>
      </c>
      <c r="D38" s="19"/>
      <c r="E38" s="19"/>
      <c r="F38" s="19"/>
      <c r="G38" s="19"/>
      <c r="H38" s="19"/>
      <c r="I38" s="6"/>
    </row>
    <row r="39" spans="2:9" x14ac:dyDescent="0.3">
      <c r="B39" s="25" t="s">
        <v>57</v>
      </c>
      <c r="C39" s="44">
        <v>35379.119800000015</v>
      </c>
      <c r="D39" s="19"/>
      <c r="E39" s="19"/>
      <c r="F39" s="19"/>
      <c r="G39" s="19"/>
      <c r="H39" s="19"/>
      <c r="I39" s="6"/>
    </row>
    <row r="40" spans="2:9" x14ac:dyDescent="0.3">
      <c r="B40" s="25" t="s">
        <v>32</v>
      </c>
      <c r="C40" s="44">
        <v>58514.166999999987</v>
      </c>
      <c r="D40" s="19"/>
      <c r="E40" s="19"/>
      <c r="F40" s="19"/>
      <c r="G40" s="19"/>
      <c r="H40" s="19"/>
      <c r="I40" s="6"/>
    </row>
    <row r="41" spans="2:9" x14ac:dyDescent="0.3">
      <c r="B41" s="25" t="s">
        <v>54</v>
      </c>
      <c r="C41" s="44">
        <v>59449.863799999992</v>
      </c>
      <c r="D41" s="19"/>
      <c r="E41" s="19"/>
      <c r="F41" s="19"/>
      <c r="G41" s="19"/>
      <c r="H41" s="19"/>
      <c r="I41" s="6"/>
    </row>
    <row r="42" spans="2:9" x14ac:dyDescent="0.3">
      <c r="B42" s="25" t="s">
        <v>19</v>
      </c>
      <c r="C42" s="44">
        <v>68025.838800000012</v>
      </c>
      <c r="D42" s="19"/>
      <c r="E42" s="19"/>
      <c r="F42" s="19"/>
      <c r="G42" s="19"/>
      <c r="H42" s="19"/>
      <c r="I42" s="6"/>
    </row>
    <row r="43" spans="2:9" x14ac:dyDescent="0.3">
      <c r="B43" s="25" t="s">
        <v>95</v>
      </c>
      <c r="C43" s="44">
        <v>81894.736400000009</v>
      </c>
      <c r="D43" s="19"/>
      <c r="E43" s="19"/>
      <c r="F43" s="19"/>
      <c r="G43" s="19"/>
      <c r="H43" s="19"/>
      <c r="I43" s="6"/>
    </row>
    <row r="44" spans="2:9" x14ac:dyDescent="0.3">
      <c r="B44" s="25" t="s">
        <v>28</v>
      </c>
      <c r="C44" s="44">
        <v>90706.728999999992</v>
      </c>
      <c r="D44" s="19"/>
      <c r="E44" s="19"/>
      <c r="F44" s="19"/>
      <c r="G44" s="19"/>
      <c r="H44" s="19"/>
      <c r="I44" s="6"/>
    </row>
    <row r="45" spans="2:9" x14ac:dyDescent="0.3">
      <c r="B45" s="25" t="s">
        <v>67</v>
      </c>
      <c r="C45" s="44">
        <v>101276.46159999995</v>
      </c>
      <c r="D45" s="19"/>
      <c r="E45" s="19"/>
      <c r="F45" s="19"/>
      <c r="G45" s="19"/>
      <c r="H45" s="19"/>
      <c r="I45" s="6"/>
    </row>
    <row r="46" spans="2:9" x14ac:dyDescent="0.3">
      <c r="B46" s="25" t="s">
        <v>24</v>
      </c>
      <c r="C46" s="44">
        <v>118558.88140000009</v>
      </c>
      <c r="D46" s="19"/>
      <c r="E46" s="19"/>
      <c r="F46" s="19"/>
      <c r="G46" s="19"/>
      <c r="H46" s="19"/>
      <c r="I46" s="6"/>
    </row>
    <row r="47" spans="2:9" x14ac:dyDescent="0.3">
      <c r="B47" s="25" t="s">
        <v>42</v>
      </c>
      <c r="C47" s="44">
        <v>135976.52539999998</v>
      </c>
      <c r="D47" s="19"/>
      <c r="E47" s="19"/>
      <c r="F47" s="19"/>
      <c r="G47" s="19"/>
      <c r="H47" s="19"/>
      <c r="I47" s="6"/>
    </row>
    <row r="48" spans="2:9" x14ac:dyDescent="0.3">
      <c r="B48" s="25" t="s">
        <v>48</v>
      </c>
      <c r="C48" s="44">
        <v>175433.92240000021</v>
      </c>
      <c r="D48" s="19"/>
      <c r="E48" s="19"/>
      <c r="F48" s="19"/>
      <c r="G48" s="19"/>
      <c r="H48" s="19"/>
      <c r="I48" s="6"/>
    </row>
    <row r="49" spans="2:9" ht="16.2" thickBot="1" x14ac:dyDescent="0.35">
      <c r="B49" s="23" t="s">
        <v>12</v>
      </c>
      <c r="C49" s="44">
        <v>178124.08099999995</v>
      </c>
      <c r="D49" s="19"/>
      <c r="E49" s="19"/>
      <c r="F49" s="19"/>
      <c r="G49" s="19"/>
      <c r="H49" s="19"/>
      <c r="I49" s="6"/>
    </row>
    <row r="50" spans="2:9" ht="16.2" thickBot="1" x14ac:dyDescent="0.35">
      <c r="B50" s="29" t="s">
        <v>1620</v>
      </c>
      <c r="C50" s="45">
        <v>1201681.4927999999</v>
      </c>
      <c r="D50" s="10"/>
      <c r="E50" s="10"/>
      <c r="F50" s="10"/>
      <c r="G50" s="10"/>
      <c r="H50" s="10"/>
      <c r="I50" s="11"/>
    </row>
    <row r="53" spans="2:9" ht="16.2" thickBot="1" x14ac:dyDescent="0.35"/>
    <row r="54" spans="2:9" ht="25.2" thickBot="1" x14ac:dyDescent="0.6">
      <c r="B54" s="15" t="s">
        <v>1626</v>
      </c>
      <c r="C54" s="31"/>
      <c r="D54" s="31"/>
      <c r="E54" s="31"/>
      <c r="F54" s="31"/>
      <c r="G54" s="33"/>
      <c r="H54" s="34"/>
    </row>
    <row r="55" spans="2:9" ht="16.2" thickBot="1" x14ac:dyDescent="0.35">
      <c r="B55" s="27" t="s">
        <v>1619</v>
      </c>
      <c r="C55" s="30" t="s">
        <v>1621</v>
      </c>
      <c r="D55" s="19"/>
      <c r="E55" s="19"/>
      <c r="F55" s="19"/>
      <c r="G55" s="6"/>
      <c r="H55" s="19"/>
    </row>
    <row r="56" spans="2:9" x14ac:dyDescent="0.3">
      <c r="B56" s="28">
        <v>2011</v>
      </c>
      <c r="C56" s="46">
        <v>78131.566599999976</v>
      </c>
      <c r="D56" s="19"/>
      <c r="E56" s="19"/>
      <c r="F56" s="19"/>
      <c r="G56" s="6"/>
      <c r="H56" s="19"/>
    </row>
    <row r="57" spans="2:9" x14ac:dyDescent="0.3">
      <c r="B57" s="25">
        <v>2012</v>
      </c>
      <c r="C57" s="44">
        <v>130476.85979999998</v>
      </c>
      <c r="D57" s="19"/>
      <c r="E57" s="19"/>
      <c r="F57" s="19"/>
      <c r="G57" s="6"/>
      <c r="H57" s="19"/>
    </row>
    <row r="58" spans="2:9" x14ac:dyDescent="0.3">
      <c r="B58" s="25">
        <v>2014</v>
      </c>
      <c r="C58" s="44">
        <v>131809.01560000007</v>
      </c>
      <c r="D58" s="19"/>
      <c r="E58" s="19"/>
      <c r="F58" s="19"/>
      <c r="G58" s="6"/>
      <c r="H58" s="19"/>
    </row>
    <row r="59" spans="2:9" x14ac:dyDescent="0.3">
      <c r="B59" s="25">
        <v>2015</v>
      </c>
      <c r="C59" s="44">
        <v>130942.78019999999</v>
      </c>
      <c r="D59" s="19"/>
      <c r="E59" s="19"/>
      <c r="F59" s="19"/>
      <c r="G59" s="6"/>
      <c r="H59" s="19"/>
    </row>
    <row r="60" spans="2:9" x14ac:dyDescent="0.3">
      <c r="B60" s="25">
        <v>2016</v>
      </c>
      <c r="C60" s="44">
        <v>132113.36980000007</v>
      </c>
      <c r="D60" s="19"/>
      <c r="E60" s="19"/>
      <c r="F60" s="19"/>
      <c r="G60" s="6"/>
      <c r="H60" s="19"/>
    </row>
    <row r="61" spans="2:9" x14ac:dyDescent="0.3">
      <c r="B61" s="25">
        <v>2017</v>
      </c>
      <c r="C61" s="44">
        <v>133103.90699999989</v>
      </c>
      <c r="D61" s="19"/>
      <c r="E61" s="19"/>
      <c r="F61" s="19"/>
      <c r="G61" s="6"/>
      <c r="H61" s="19"/>
    </row>
    <row r="62" spans="2:9" x14ac:dyDescent="0.3">
      <c r="B62" s="25">
        <v>2018</v>
      </c>
      <c r="C62" s="44">
        <v>204522.25700000025</v>
      </c>
      <c r="D62" s="19"/>
      <c r="E62" s="19"/>
      <c r="F62" s="19"/>
      <c r="G62" s="6"/>
      <c r="H62" s="19"/>
    </row>
    <row r="63" spans="2:9" x14ac:dyDescent="0.3">
      <c r="B63" s="25">
        <v>2020</v>
      </c>
      <c r="C63" s="44">
        <v>129103.96039999987</v>
      </c>
      <c r="D63" s="19"/>
      <c r="E63" s="19"/>
      <c r="F63" s="19"/>
      <c r="G63" s="6"/>
      <c r="H63" s="19"/>
    </row>
    <row r="64" spans="2:9" ht="16.2" thickBot="1" x14ac:dyDescent="0.35">
      <c r="B64" s="23">
        <v>2022</v>
      </c>
      <c r="C64" s="44">
        <v>131477.77639999994</v>
      </c>
      <c r="D64" s="19"/>
      <c r="E64" s="19"/>
      <c r="F64" s="19"/>
      <c r="G64" s="6"/>
      <c r="H64" s="19"/>
    </row>
    <row r="65" spans="2:12" ht="16.2" thickBot="1" x14ac:dyDescent="0.35">
      <c r="B65" s="29" t="s">
        <v>1620</v>
      </c>
      <c r="C65" s="45">
        <v>1201681.4927999999</v>
      </c>
      <c r="D65" s="19"/>
      <c r="E65" s="19"/>
      <c r="F65" s="19"/>
      <c r="G65" s="6"/>
      <c r="H65" s="19"/>
    </row>
    <row r="66" spans="2:12" ht="16.2" thickBot="1" x14ac:dyDescent="0.35">
      <c r="B66" s="9"/>
      <c r="C66" s="10"/>
      <c r="D66" s="10"/>
      <c r="E66" s="10"/>
      <c r="F66" s="10"/>
      <c r="G66" s="11"/>
      <c r="H66" s="19"/>
    </row>
    <row r="69" spans="2:12" ht="16.2" thickBot="1" x14ac:dyDescent="0.35"/>
    <row r="70" spans="2:12" ht="25.2" thickBot="1" x14ac:dyDescent="0.6">
      <c r="B70" s="15" t="s">
        <v>1627</v>
      </c>
      <c r="C70" s="31"/>
      <c r="D70" s="31"/>
      <c r="E70" s="31"/>
      <c r="F70" s="4"/>
    </row>
    <row r="71" spans="2:12" ht="16.2" thickBot="1" x14ac:dyDescent="0.35">
      <c r="B71" s="27" t="s">
        <v>1619</v>
      </c>
      <c r="C71" s="30" t="s">
        <v>1621</v>
      </c>
      <c r="D71" s="19"/>
      <c r="E71" s="19"/>
      <c r="F71" s="6"/>
    </row>
    <row r="72" spans="2:12" x14ac:dyDescent="0.3">
      <c r="B72" s="28" t="s">
        <v>30</v>
      </c>
      <c r="C72" s="46">
        <v>248991.58600000024</v>
      </c>
      <c r="D72" s="19"/>
      <c r="E72" s="19"/>
      <c r="F72" s="6"/>
    </row>
    <row r="73" spans="2:12" x14ac:dyDescent="0.3">
      <c r="B73" s="25" t="s">
        <v>15</v>
      </c>
      <c r="C73" s="44">
        <v>507895.7363999993</v>
      </c>
      <c r="D73" s="19"/>
      <c r="E73" s="19"/>
      <c r="F73" s="6"/>
    </row>
    <row r="74" spans="2:12" ht="16.2" thickBot="1" x14ac:dyDescent="0.35">
      <c r="B74" s="23" t="s">
        <v>26</v>
      </c>
      <c r="C74" s="44">
        <v>444794.17039999936</v>
      </c>
      <c r="D74" s="19"/>
      <c r="E74" s="19"/>
      <c r="F74" s="6"/>
    </row>
    <row r="75" spans="2:12" ht="16.2" thickBot="1" x14ac:dyDescent="0.35">
      <c r="B75" s="29" t="s">
        <v>1620</v>
      </c>
      <c r="C75" s="45">
        <v>1201681.4927999987</v>
      </c>
      <c r="D75" s="19"/>
      <c r="E75" s="19"/>
      <c r="F75" s="6"/>
    </row>
    <row r="76" spans="2:12" x14ac:dyDescent="0.3">
      <c r="B76" s="5"/>
      <c r="C76" s="19"/>
      <c r="D76" s="19"/>
      <c r="E76" s="19"/>
      <c r="F76" s="6"/>
    </row>
    <row r="77" spans="2:12" ht="16.2" thickBot="1" x14ac:dyDescent="0.35">
      <c r="B77" s="9"/>
      <c r="C77" s="10"/>
      <c r="D77" s="10"/>
      <c r="E77" s="10"/>
      <c r="F77" s="11"/>
    </row>
    <row r="79" spans="2:12" ht="16.2" thickBot="1" x14ac:dyDescent="0.35"/>
    <row r="80" spans="2:12" ht="25.2" thickBot="1" x14ac:dyDescent="0.6">
      <c r="B80" s="15" t="s">
        <v>1629</v>
      </c>
      <c r="C80" s="31"/>
      <c r="D80" s="31"/>
      <c r="E80" s="31"/>
      <c r="F80" s="31"/>
      <c r="G80" s="31"/>
      <c r="H80" s="31"/>
      <c r="I80" s="31"/>
      <c r="J80" s="31"/>
      <c r="K80" s="31"/>
      <c r="L80" s="33"/>
    </row>
    <row r="81" spans="2:12" ht="16.2" thickBot="1" x14ac:dyDescent="0.35">
      <c r="B81" s="27" t="s">
        <v>1619</v>
      </c>
      <c r="C81" s="30" t="s">
        <v>1621</v>
      </c>
      <c r="D81" s="19"/>
      <c r="E81" s="19" t="s">
        <v>1628</v>
      </c>
      <c r="F81" s="19" t="s">
        <v>1608</v>
      </c>
      <c r="G81" s="19"/>
      <c r="H81" s="19"/>
      <c r="I81" s="19"/>
      <c r="J81" s="19"/>
      <c r="K81" s="19"/>
      <c r="L81" s="6"/>
    </row>
    <row r="82" spans="2:12" x14ac:dyDescent="0.3">
      <c r="B82" s="28" t="s">
        <v>21</v>
      </c>
      <c r="C82" s="46">
        <v>472133.03319999954</v>
      </c>
      <c r="D82" s="19"/>
      <c r="E82" s="19" t="str">
        <f>B82</f>
        <v>Tier 3</v>
      </c>
      <c r="F82" s="35">
        <f>GETPIVOTDATA("Sales",$B$81,"Outlet Location Type",B82)</f>
        <v>472133.03319999954</v>
      </c>
      <c r="G82" s="19"/>
      <c r="H82" s="19"/>
      <c r="I82" s="19"/>
      <c r="J82" s="19"/>
      <c r="K82" s="19"/>
      <c r="L82" s="6"/>
    </row>
    <row r="83" spans="2:12" x14ac:dyDescent="0.3">
      <c r="B83" s="25" t="s">
        <v>34</v>
      </c>
      <c r="C83" s="44">
        <v>393150.64759999956</v>
      </c>
      <c r="D83" s="19"/>
      <c r="E83" s="19" t="str">
        <f>B83</f>
        <v>Tier 2</v>
      </c>
      <c r="F83" s="35">
        <f>GETPIVOTDATA("Sales",$B$81,"Outlet Location Type",B83)</f>
        <v>393150.64759999956</v>
      </c>
      <c r="G83" s="19"/>
      <c r="H83" s="19"/>
      <c r="I83" s="19"/>
      <c r="J83" s="19"/>
      <c r="K83" s="19"/>
      <c r="L83" s="6"/>
    </row>
    <row r="84" spans="2:12" ht="16.2" thickBot="1" x14ac:dyDescent="0.35">
      <c r="B84" s="23" t="s">
        <v>14</v>
      </c>
      <c r="C84" s="44">
        <v>336397.81199999945</v>
      </c>
      <c r="D84" s="19"/>
      <c r="E84" s="19" t="str">
        <f>B84</f>
        <v>Tier 1</v>
      </c>
      <c r="F84" s="35">
        <f>GETPIVOTDATA("Sales",$B$81,"Outlet Location Type",B84)</f>
        <v>336397.81199999945</v>
      </c>
      <c r="G84" s="19"/>
      <c r="H84" s="19"/>
      <c r="I84" s="19"/>
      <c r="J84" s="19"/>
      <c r="K84" s="19"/>
      <c r="L84" s="6"/>
    </row>
    <row r="85" spans="2:12" ht="16.2" thickBot="1" x14ac:dyDescent="0.35">
      <c r="B85" s="29" t="s">
        <v>1620</v>
      </c>
      <c r="C85" s="45">
        <v>1201681.4927999985</v>
      </c>
      <c r="D85" s="19"/>
      <c r="E85" s="19"/>
      <c r="F85" s="19"/>
      <c r="G85" s="19"/>
      <c r="H85" s="19"/>
      <c r="I85" s="19"/>
      <c r="J85" s="19"/>
      <c r="K85" s="19"/>
      <c r="L85" s="6"/>
    </row>
    <row r="86" spans="2:12" x14ac:dyDescent="0.3">
      <c r="B86" s="5"/>
      <c r="C86" s="19"/>
      <c r="D86" s="19"/>
      <c r="E86" s="19"/>
      <c r="F86" s="19"/>
      <c r="G86" s="19"/>
      <c r="H86" s="19"/>
      <c r="I86" s="19"/>
      <c r="J86" s="19"/>
      <c r="K86" s="19"/>
      <c r="L86" s="6"/>
    </row>
    <row r="87" spans="2:12" x14ac:dyDescent="0.3">
      <c r="B87" s="5"/>
      <c r="C87" s="19"/>
      <c r="D87" s="19"/>
      <c r="E87" s="19"/>
      <c r="F87" s="19"/>
      <c r="G87" s="19"/>
      <c r="H87" s="19"/>
      <c r="I87" s="19"/>
      <c r="J87" s="19"/>
      <c r="K87" s="19"/>
      <c r="L87" s="6"/>
    </row>
    <row r="88" spans="2:12" x14ac:dyDescent="0.3">
      <c r="B88" s="5"/>
      <c r="C88" s="19"/>
      <c r="D88" s="19"/>
      <c r="E88" s="19"/>
      <c r="F88" s="19"/>
      <c r="G88" s="19"/>
      <c r="H88" s="19"/>
      <c r="I88" s="19"/>
      <c r="J88" s="19"/>
      <c r="K88" s="19"/>
      <c r="L88" s="6"/>
    </row>
    <row r="89" spans="2:12" x14ac:dyDescent="0.3">
      <c r="B89" s="5"/>
      <c r="C89" s="19"/>
      <c r="D89" s="19"/>
      <c r="E89" s="19"/>
      <c r="F89" s="19"/>
      <c r="G89" s="19"/>
      <c r="H89" s="19"/>
      <c r="I89" s="19"/>
      <c r="J89" s="19"/>
      <c r="K89" s="19"/>
      <c r="L89" s="6"/>
    </row>
    <row r="90" spans="2:12" ht="16.2" thickBot="1" x14ac:dyDescent="0.35">
      <c r="B90" s="9"/>
      <c r="C90" s="10"/>
      <c r="D90" s="10"/>
      <c r="E90" s="10"/>
      <c r="F90" s="10"/>
      <c r="G90" s="10"/>
      <c r="H90" s="10"/>
      <c r="I90" s="10"/>
      <c r="J90" s="10"/>
      <c r="K90" s="10"/>
      <c r="L90" s="11"/>
    </row>
    <row r="93" spans="2:12" ht="16.2" thickBot="1" x14ac:dyDescent="0.35"/>
    <row r="94" spans="2:12" ht="24.6" x14ac:dyDescent="0.55000000000000004">
      <c r="B94" s="15" t="s">
        <v>1631</v>
      </c>
      <c r="C94" s="31"/>
      <c r="D94" s="31"/>
      <c r="E94" s="33"/>
      <c r="F94" s="34"/>
      <c r="G94" s="19"/>
    </row>
    <row r="95" spans="2:12" x14ac:dyDescent="0.3">
      <c r="B95" s="18" t="s">
        <v>1619</v>
      </c>
      <c r="C95" s="19" t="s">
        <v>1621</v>
      </c>
      <c r="D95" s="19"/>
      <c r="E95" s="6"/>
      <c r="F95" s="19"/>
      <c r="G95" s="19"/>
    </row>
    <row r="96" spans="2:12" x14ac:dyDescent="0.3">
      <c r="B96" s="20" t="s">
        <v>40</v>
      </c>
      <c r="C96" s="35">
        <v>151939.149</v>
      </c>
      <c r="D96" s="19"/>
      <c r="E96" s="6"/>
      <c r="F96" s="19"/>
      <c r="G96" s="19"/>
    </row>
    <row r="97" spans="2:7" x14ac:dyDescent="0.3">
      <c r="B97" s="20" t="s">
        <v>46</v>
      </c>
      <c r="C97" s="35">
        <v>130714.67460000006</v>
      </c>
      <c r="D97" s="19"/>
      <c r="E97" s="6"/>
      <c r="F97" s="19"/>
      <c r="G97" s="19"/>
    </row>
    <row r="98" spans="2:7" x14ac:dyDescent="0.3">
      <c r="B98" s="20" t="s">
        <v>22</v>
      </c>
      <c r="C98" s="35">
        <v>131477.77639999994</v>
      </c>
      <c r="D98" s="19"/>
      <c r="E98" s="6"/>
      <c r="F98" s="19"/>
      <c r="G98" s="19"/>
    </row>
    <row r="99" spans="2:7" x14ac:dyDescent="0.3">
      <c r="B99" s="20" t="s">
        <v>16</v>
      </c>
      <c r="C99" s="35">
        <v>787549.89280000131</v>
      </c>
      <c r="D99" s="19"/>
      <c r="E99" s="6"/>
      <c r="F99" s="19"/>
      <c r="G99" s="19"/>
    </row>
    <row r="100" spans="2:7" x14ac:dyDescent="0.3">
      <c r="B100" s="20" t="s">
        <v>1620</v>
      </c>
      <c r="C100" s="35">
        <v>1201681.4928000013</v>
      </c>
      <c r="D100" s="19"/>
      <c r="E100" s="6"/>
      <c r="F100" s="19"/>
      <c r="G100" s="19"/>
    </row>
    <row r="101" spans="2:7" x14ac:dyDescent="0.3">
      <c r="B101" s="5"/>
      <c r="C101" s="19"/>
      <c r="D101" s="19"/>
      <c r="E101" s="6"/>
      <c r="F101" s="19"/>
      <c r="G101" s="19"/>
    </row>
    <row r="102" spans="2:7" x14ac:dyDescent="0.3">
      <c r="B102" s="5"/>
      <c r="C102" s="19"/>
      <c r="D102" s="19"/>
      <c r="E102" s="6"/>
      <c r="F102" s="19"/>
    </row>
    <row r="103" spans="2:7" x14ac:dyDescent="0.3">
      <c r="B103" s="5"/>
      <c r="C103" s="19"/>
      <c r="D103" s="19"/>
      <c r="E103" s="6"/>
      <c r="F103" s="19"/>
    </row>
    <row r="104" spans="2:7" x14ac:dyDescent="0.3">
      <c r="B104" s="5"/>
      <c r="C104" s="19"/>
      <c r="D104" s="19"/>
      <c r="E104" s="6"/>
      <c r="F104" s="19"/>
    </row>
    <row r="105" spans="2:7" x14ac:dyDescent="0.3">
      <c r="B105" s="5"/>
      <c r="C105" s="19"/>
      <c r="D105" s="19"/>
      <c r="E105" s="6"/>
      <c r="F105" s="19"/>
    </row>
    <row r="106" spans="2:7" x14ac:dyDescent="0.3">
      <c r="B106" s="18" t="s">
        <v>1619</v>
      </c>
      <c r="C106" s="19" t="s">
        <v>1630</v>
      </c>
      <c r="D106" s="19"/>
      <c r="E106" s="6"/>
      <c r="F106" s="19"/>
    </row>
    <row r="107" spans="2:7" x14ac:dyDescent="0.3">
      <c r="B107" s="20" t="s">
        <v>40</v>
      </c>
      <c r="C107" s="58">
        <v>140.29468975069253</v>
      </c>
      <c r="D107" s="19"/>
      <c r="E107" s="6"/>
      <c r="F107" s="19"/>
    </row>
    <row r="108" spans="2:7" x14ac:dyDescent="0.3">
      <c r="B108" s="20" t="s">
        <v>46</v>
      </c>
      <c r="C108" s="58">
        <v>139.80179101604284</v>
      </c>
      <c r="D108" s="19"/>
      <c r="E108" s="6"/>
      <c r="F108" s="19"/>
    </row>
    <row r="109" spans="2:7" x14ac:dyDescent="0.3">
      <c r="B109" s="20" t="s">
        <v>22</v>
      </c>
      <c r="C109" s="58">
        <v>141.67863836206891</v>
      </c>
      <c r="D109" s="19"/>
      <c r="E109" s="6"/>
      <c r="F109" s="19"/>
    </row>
    <row r="110" spans="2:7" x14ac:dyDescent="0.3">
      <c r="B110" s="20" t="s">
        <v>16</v>
      </c>
      <c r="C110" s="58">
        <v>141.21389506903375</v>
      </c>
      <c r="D110" s="19"/>
      <c r="E110" s="6"/>
      <c r="F110" s="19"/>
    </row>
    <row r="111" spans="2:7" x14ac:dyDescent="0.3">
      <c r="B111" s="20" t="s">
        <v>1620</v>
      </c>
      <c r="C111" s="58">
        <v>140.99278338613175</v>
      </c>
      <c r="D111" s="19"/>
      <c r="E111" s="6"/>
      <c r="F111" s="19"/>
    </row>
    <row r="112" spans="2:7" x14ac:dyDescent="0.3">
      <c r="B112" s="5"/>
      <c r="C112" s="19"/>
      <c r="D112" s="19"/>
      <c r="E112" s="6"/>
      <c r="F112" s="19"/>
    </row>
    <row r="113" spans="2:6" x14ac:dyDescent="0.3">
      <c r="B113" s="5"/>
      <c r="C113" s="19"/>
      <c r="D113" s="19"/>
      <c r="E113" s="6"/>
      <c r="F113" s="19"/>
    </row>
    <row r="114" spans="2:6" x14ac:dyDescent="0.3">
      <c r="B114" s="5"/>
      <c r="C114" s="19"/>
      <c r="D114" s="19"/>
      <c r="E114" s="6"/>
      <c r="F114" s="19"/>
    </row>
    <row r="115" spans="2:6" x14ac:dyDescent="0.3">
      <c r="B115" s="5"/>
      <c r="C115" s="19"/>
      <c r="D115" s="19"/>
      <c r="E115" s="6"/>
      <c r="F115" s="19"/>
    </row>
    <row r="116" spans="2:6" x14ac:dyDescent="0.3">
      <c r="B116" s="18" t="s">
        <v>1619</v>
      </c>
      <c r="C116" s="19" t="s">
        <v>1613</v>
      </c>
      <c r="D116" s="19"/>
      <c r="E116" s="6"/>
      <c r="F116" s="19"/>
    </row>
    <row r="117" spans="2:6" x14ac:dyDescent="0.3">
      <c r="B117" s="20" t="s">
        <v>40</v>
      </c>
      <c r="C117" s="59">
        <v>3.9858725761772842</v>
      </c>
      <c r="D117" s="19"/>
      <c r="E117" s="6"/>
      <c r="F117" s="19"/>
    </row>
    <row r="118" spans="2:6" x14ac:dyDescent="0.3">
      <c r="B118" s="20" t="s">
        <v>46</v>
      </c>
      <c r="C118" s="59">
        <v>3.9529411764705853</v>
      </c>
      <c r="D118" s="19"/>
      <c r="E118" s="6"/>
      <c r="F118" s="19"/>
    </row>
    <row r="119" spans="2:6" x14ac:dyDescent="0.3">
      <c r="B119" s="20" t="s">
        <v>22</v>
      </c>
      <c r="C119" s="59">
        <v>3.9712284482758555</v>
      </c>
      <c r="D119" s="19"/>
      <c r="E119" s="6"/>
      <c r="F119" s="19"/>
    </row>
    <row r="120" spans="2:6" x14ac:dyDescent="0.3">
      <c r="B120" s="20" t="s">
        <v>16</v>
      </c>
      <c r="C120" s="59">
        <v>3.9632418863188126</v>
      </c>
      <c r="D120" s="19"/>
      <c r="E120" s="6"/>
      <c r="F120" s="19"/>
    </row>
    <row r="121" spans="2:6" x14ac:dyDescent="0.3">
      <c r="B121" s="20" t="s">
        <v>1620</v>
      </c>
      <c r="C121" s="59">
        <v>3.9658570925729926</v>
      </c>
      <c r="D121" s="19"/>
      <c r="E121" s="6"/>
      <c r="F121" s="19"/>
    </row>
    <row r="122" spans="2:6" ht="16.2" thickBot="1" x14ac:dyDescent="0.35">
      <c r="B122" s="9"/>
      <c r="C122" s="10"/>
      <c r="D122" s="10"/>
      <c r="E122" s="11"/>
      <c r="F122" s="19"/>
    </row>
    <row r="123" spans="2:6" x14ac:dyDescent="0.3">
      <c r="B123" s="19"/>
      <c r="C123" s="19"/>
      <c r="D123" s="19"/>
      <c r="E123" s="19"/>
      <c r="F123" s="19"/>
    </row>
  </sheetData>
  <mergeCells count="8">
    <mergeCell ref="B70:E70"/>
    <mergeCell ref="B94:E94"/>
    <mergeCell ref="B80:L80"/>
    <mergeCell ref="B3:E3"/>
    <mergeCell ref="B12:E12"/>
    <mergeCell ref="B22:E22"/>
    <mergeCell ref="B32:G32"/>
    <mergeCell ref="B54:G5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5F6D4-EEB8-426E-97DB-BDE16A498EC3}">
  <dimension ref="A1"/>
  <sheetViews>
    <sheetView showGridLines="0" tabSelected="1" topLeftCell="B1" workbookViewId="0">
      <selection activeCell="V7" sqref="V7"/>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Design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somya bansal</cp:lastModifiedBy>
  <dcterms:created xsi:type="dcterms:W3CDTF">2024-06-23T13:11:17Z</dcterms:created>
  <dcterms:modified xsi:type="dcterms:W3CDTF">2026-07-09T08:09:40Z</dcterms:modified>
</cp:coreProperties>
</file>